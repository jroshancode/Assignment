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na\Desktop\"/>
    </mc:Choice>
  </mc:AlternateContent>
  <xr:revisionPtr revIDLastSave="0" documentId="13_ncr:1_{8C76B81B-E011-40F6-B5E7-FF763C72D878}" xr6:coauthVersionLast="47" xr6:coauthVersionMax="47" xr10:uidLastSave="{00000000-0000-0000-0000-000000000000}"/>
  <bookViews>
    <workbookView xWindow="-98" yWindow="-98" windowWidth="21795" windowHeight="12975" xr2:uid="{776E2A5B-3C35-4316-9915-A7BB229A3EF6}"/>
  </bookViews>
  <sheets>
    <sheet name="Overview" sheetId="10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ummary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9" l="1" a="1"/>
  <c r="C2" i="9" s="1"/>
  <c r="S20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2" i="6"/>
  <c r="P3" i="6"/>
  <c r="P5" i="6"/>
  <c r="P21" i="6"/>
  <c r="P22" i="6"/>
  <c r="P31" i="6"/>
  <c r="P34" i="6"/>
  <c r="P35" i="6"/>
  <c r="P36" i="6"/>
  <c r="P45" i="6"/>
  <c r="P62" i="6"/>
  <c r="P64" i="6"/>
  <c r="P75" i="6"/>
  <c r="P76" i="6"/>
  <c r="P77" i="6"/>
  <c r="P78" i="6"/>
  <c r="P115" i="6"/>
  <c r="P117" i="6"/>
  <c r="P118" i="6"/>
  <c r="P119" i="6"/>
  <c r="O17" i="6"/>
  <c r="O19" i="6"/>
  <c r="O21" i="6"/>
  <c r="Q21" i="6" s="1"/>
  <c r="O22" i="6"/>
  <c r="Q22" i="6" s="1"/>
  <c r="O23" i="6"/>
  <c r="O45" i="6"/>
  <c r="O47" i="6"/>
  <c r="O49" i="6"/>
  <c r="O50" i="6"/>
  <c r="O51" i="6"/>
  <c r="O73" i="6"/>
  <c r="O75" i="6"/>
  <c r="O77" i="6"/>
  <c r="O78" i="6"/>
  <c r="O79" i="6"/>
  <c r="O101" i="6"/>
  <c r="O103" i="6"/>
  <c r="O105" i="6"/>
  <c r="O106" i="6"/>
  <c r="O107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2" i="6"/>
  <c r="G3" i="6"/>
  <c r="L3" i="6" s="1"/>
  <c r="G4" i="6"/>
  <c r="M4" i="6" s="1"/>
  <c r="G5" i="6"/>
  <c r="M5" i="6" s="1"/>
  <c r="G6" i="6"/>
  <c r="L6" i="6" s="1"/>
  <c r="G7" i="6"/>
  <c r="L7" i="6" s="1"/>
  <c r="G8" i="6"/>
  <c r="L8" i="6" s="1"/>
  <c r="G9" i="6"/>
  <c r="L9" i="6" s="1"/>
  <c r="G10" i="6"/>
  <c r="L10" i="6" s="1"/>
  <c r="G11" i="6"/>
  <c r="L11" i="6" s="1"/>
  <c r="G12" i="6"/>
  <c r="L12" i="6" s="1"/>
  <c r="G13" i="6"/>
  <c r="M13" i="6" s="1"/>
  <c r="G14" i="6"/>
  <c r="L14" i="6" s="1"/>
  <c r="G15" i="6"/>
  <c r="L15" i="6" s="1"/>
  <c r="G16" i="6"/>
  <c r="M16" i="6" s="1"/>
  <c r="G17" i="6"/>
  <c r="L17" i="6" s="1"/>
  <c r="G18" i="6"/>
  <c r="M18" i="6" s="1"/>
  <c r="G19" i="6"/>
  <c r="M19" i="6" s="1"/>
  <c r="G20" i="6"/>
  <c r="L20" i="6" s="1"/>
  <c r="G21" i="6"/>
  <c r="L21" i="6" s="1"/>
  <c r="G22" i="6"/>
  <c r="L22" i="6" s="1"/>
  <c r="G23" i="6"/>
  <c r="L23" i="6" s="1"/>
  <c r="G24" i="6"/>
  <c r="M24" i="6" s="1"/>
  <c r="G25" i="6"/>
  <c r="M25" i="6" s="1"/>
  <c r="G26" i="6"/>
  <c r="M26" i="6" s="1"/>
  <c r="G27" i="6"/>
  <c r="M27" i="6" s="1"/>
  <c r="G28" i="6"/>
  <c r="M28" i="6" s="1"/>
  <c r="G29" i="6"/>
  <c r="L29" i="6" s="1"/>
  <c r="G30" i="6"/>
  <c r="M30" i="6" s="1"/>
  <c r="G31" i="6"/>
  <c r="L31" i="6" s="1"/>
  <c r="G32" i="6"/>
  <c r="M32" i="6" s="1"/>
  <c r="G33" i="6"/>
  <c r="M33" i="6" s="1"/>
  <c r="G34" i="6"/>
  <c r="L34" i="6" s="1"/>
  <c r="G35" i="6"/>
  <c r="L35" i="6" s="1"/>
  <c r="G36" i="6"/>
  <c r="L36" i="6" s="1"/>
  <c r="G37" i="6"/>
  <c r="L37" i="6" s="1"/>
  <c r="G38" i="6"/>
  <c r="M38" i="6" s="1"/>
  <c r="G39" i="6"/>
  <c r="L39" i="6" s="1"/>
  <c r="G40" i="6"/>
  <c r="L40" i="6" s="1"/>
  <c r="G41" i="6"/>
  <c r="M41" i="6" s="1"/>
  <c r="G42" i="6"/>
  <c r="L42" i="6" s="1"/>
  <c r="G43" i="6"/>
  <c r="L43" i="6" s="1"/>
  <c r="G44" i="6"/>
  <c r="L44" i="6" s="1"/>
  <c r="G45" i="6"/>
  <c r="L45" i="6" s="1"/>
  <c r="G46" i="6"/>
  <c r="M46" i="6" s="1"/>
  <c r="G47" i="6"/>
  <c r="M47" i="6" s="1"/>
  <c r="G48" i="6"/>
  <c r="L48" i="6" s="1"/>
  <c r="G49" i="6"/>
  <c r="L49" i="6" s="1"/>
  <c r="G50" i="6"/>
  <c r="L50" i="6" s="1"/>
  <c r="G51" i="6"/>
  <c r="L51" i="6" s="1"/>
  <c r="G52" i="6"/>
  <c r="L52" i="6" s="1"/>
  <c r="G53" i="6"/>
  <c r="M53" i="6" s="1"/>
  <c r="G54" i="6"/>
  <c r="M54" i="6" s="1"/>
  <c r="G55" i="6"/>
  <c r="M55" i="6" s="1"/>
  <c r="G56" i="6"/>
  <c r="M56" i="6" s="1"/>
  <c r="G57" i="6"/>
  <c r="L57" i="6" s="1"/>
  <c r="G58" i="6"/>
  <c r="M58" i="6" s="1"/>
  <c r="G59" i="6"/>
  <c r="L59" i="6" s="1"/>
  <c r="G60" i="6"/>
  <c r="M60" i="6" s="1"/>
  <c r="G61" i="6"/>
  <c r="M61" i="6" s="1"/>
  <c r="G62" i="6"/>
  <c r="L62" i="6" s="1"/>
  <c r="G63" i="6"/>
  <c r="L63" i="6" s="1"/>
  <c r="G64" i="6"/>
  <c r="L64" i="6" s="1"/>
  <c r="G65" i="6"/>
  <c r="L65" i="6" s="1"/>
  <c r="G66" i="6"/>
  <c r="M66" i="6" s="1"/>
  <c r="G67" i="6"/>
  <c r="L67" i="6" s="1"/>
  <c r="G68" i="6"/>
  <c r="M68" i="6" s="1"/>
  <c r="G69" i="6"/>
  <c r="M69" i="6" s="1"/>
  <c r="G70" i="6"/>
  <c r="L70" i="6" s="1"/>
  <c r="G71" i="6"/>
  <c r="L71" i="6" s="1"/>
  <c r="G72" i="6"/>
  <c r="L72" i="6" s="1"/>
  <c r="G73" i="6"/>
  <c r="L73" i="6" s="1"/>
  <c r="G74" i="6"/>
  <c r="M74" i="6" s="1"/>
  <c r="G75" i="6"/>
  <c r="M75" i="6" s="1"/>
  <c r="G76" i="6"/>
  <c r="L76" i="6" s="1"/>
  <c r="G77" i="6"/>
  <c r="L77" i="6" s="1"/>
  <c r="G78" i="6"/>
  <c r="L78" i="6" s="1"/>
  <c r="G79" i="6"/>
  <c r="L79" i="6" s="1"/>
  <c r="G80" i="6"/>
  <c r="M80" i="6" s="1"/>
  <c r="G81" i="6"/>
  <c r="M81" i="6" s="1"/>
  <c r="G82" i="6"/>
  <c r="M82" i="6" s="1"/>
  <c r="G83" i="6"/>
  <c r="M83" i="6" s="1"/>
  <c r="G84" i="6"/>
  <c r="M84" i="6" s="1"/>
  <c r="G85" i="6"/>
  <c r="L85" i="6" s="1"/>
  <c r="G86" i="6"/>
  <c r="M86" i="6" s="1"/>
  <c r="G87" i="6"/>
  <c r="L87" i="6" s="1"/>
  <c r="G88" i="6"/>
  <c r="M88" i="6" s="1"/>
  <c r="G89" i="6"/>
  <c r="M89" i="6" s="1"/>
  <c r="G90" i="6"/>
  <c r="L90" i="6" s="1"/>
  <c r="G91" i="6"/>
  <c r="L91" i="6" s="1"/>
  <c r="G92" i="6"/>
  <c r="L92" i="6" s="1"/>
  <c r="G93" i="6"/>
  <c r="L93" i="6" s="1"/>
  <c r="G94" i="6"/>
  <c r="M94" i="6" s="1"/>
  <c r="G95" i="6"/>
  <c r="L95" i="6" s="1"/>
  <c r="G96" i="6"/>
  <c r="L96" i="6" s="1"/>
  <c r="G97" i="6"/>
  <c r="M97" i="6" s="1"/>
  <c r="G98" i="6"/>
  <c r="M98" i="6" s="1"/>
  <c r="G99" i="6"/>
  <c r="L99" i="6" s="1"/>
  <c r="G100" i="6"/>
  <c r="M100" i="6" s="1"/>
  <c r="G101" i="6"/>
  <c r="L101" i="6" s="1"/>
  <c r="G102" i="6"/>
  <c r="M102" i="6" s="1"/>
  <c r="G103" i="6"/>
  <c r="M103" i="6" s="1"/>
  <c r="G104" i="6"/>
  <c r="L104" i="6" s="1"/>
  <c r="G105" i="6"/>
  <c r="L105" i="6" s="1"/>
  <c r="G106" i="6"/>
  <c r="L106" i="6" s="1"/>
  <c r="G107" i="6"/>
  <c r="L107" i="6" s="1"/>
  <c r="G108" i="6"/>
  <c r="L108" i="6" s="1"/>
  <c r="G109" i="6"/>
  <c r="L109" i="6" s="1"/>
  <c r="G110" i="6"/>
  <c r="L110" i="6" s="1"/>
  <c r="G111" i="6"/>
  <c r="M111" i="6" s="1"/>
  <c r="G112" i="6"/>
  <c r="L112" i="6" s="1"/>
  <c r="G113" i="6"/>
  <c r="L113" i="6" s="1"/>
  <c r="G114" i="6"/>
  <c r="M114" i="6" s="1"/>
  <c r="G115" i="6"/>
  <c r="L115" i="6" s="1"/>
  <c r="G116" i="6"/>
  <c r="M116" i="6" s="1"/>
  <c r="G117" i="6"/>
  <c r="M117" i="6" s="1"/>
  <c r="G118" i="6"/>
  <c r="L118" i="6" s="1"/>
  <c r="G119" i="6"/>
  <c r="L119" i="6" s="1"/>
  <c r="G120" i="6"/>
  <c r="L120" i="6" s="1"/>
  <c r="G121" i="6"/>
  <c r="L121" i="6" s="1"/>
  <c r="G122" i="6"/>
  <c r="M122" i="6" s="1"/>
  <c r="G123" i="6"/>
  <c r="M123" i="6" s="1"/>
  <c r="G124" i="6"/>
  <c r="M124" i="6" s="1"/>
  <c r="G125" i="6"/>
  <c r="M125" i="6" s="1"/>
  <c r="G2" i="6"/>
  <c r="M2" i="6" s="1"/>
  <c r="E3" i="6"/>
  <c r="F3" i="6" s="1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F40" i="6" s="1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F51" i="6" s="1"/>
  <c r="E52" i="6"/>
  <c r="F52" i="6" s="1"/>
  <c r="E53" i="6"/>
  <c r="F53" i="6" s="1"/>
  <c r="E54" i="6"/>
  <c r="F54" i="6" s="1"/>
  <c r="E55" i="6"/>
  <c r="F55" i="6" s="1"/>
  <c r="E56" i="6"/>
  <c r="F56" i="6" s="1"/>
  <c r="E57" i="6"/>
  <c r="F57" i="6" s="1"/>
  <c r="E58" i="6"/>
  <c r="F58" i="6" s="1"/>
  <c r="E59" i="6"/>
  <c r="F59" i="6" s="1"/>
  <c r="E60" i="6"/>
  <c r="F60" i="6" s="1"/>
  <c r="E61" i="6"/>
  <c r="F61" i="6" s="1"/>
  <c r="E62" i="6"/>
  <c r="F62" i="6" s="1"/>
  <c r="E63" i="6"/>
  <c r="F63" i="6" s="1"/>
  <c r="E64" i="6"/>
  <c r="F64" i="6" s="1"/>
  <c r="E65" i="6"/>
  <c r="F65" i="6" s="1"/>
  <c r="E66" i="6"/>
  <c r="F66" i="6" s="1"/>
  <c r="E67" i="6"/>
  <c r="F67" i="6" s="1"/>
  <c r="E68" i="6"/>
  <c r="F68" i="6" s="1"/>
  <c r="E69" i="6"/>
  <c r="F69" i="6" s="1"/>
  <c r="E70" i="6"/>
  <c r="F70" i="6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F96" i="6" s="1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F104" i="6" s="1"/>
  <c r="E105" i="6"/>
  <c r="F105" i="6" s="1"/>
  <c r="E106" i="6"/>
  <c r="F106" i="6" s="1"/>
  <c r="E107" i="6"/>
  <c r="F107" i="6" s="1"/>
  <c r="E108" i="6"/>
  <c r="F108" i="6" s="1"/>
  <c r="E109" i="6"/>
  <c r="F109" i="6" s="1"/>
  <c r="E110" i="6"/>
  <c r="F110" i="6" s="1"/>
  <c r="E111" i="6"/>
  <c r="F111" i="6" s="1"/>
  <c r="E112" i="6"/>
  <c r="F112" i="6" s="1"/>
  <c r="E113" i="6"/>
  <c r="F113" i="6" s="1"/>
  <c r="E114" i="6"/>
  <c r="F114" i="6" s="1"/>
  <c r="E115" i="6"/>
  <c r="F115" i="6" s="1"/>
  <c r="E116" i="6"/>
  <c r="F116" i="6" s="1"/>
  <c r="E117" i="6"/>
  <c r="F117" i="6" s="1"/>
  <c r="E118" i="6"/>
  <c r="F118" i="6" s="1"/>
  <c r="E119" i="6"/>
  <c r="F119" i="6" s="1"/>
  <c r="E120" i="6"/>
  <c r="F120" i="6" s="1"/>
  <c r="E121" i="6"/>
  <c r="F121" i="6" s="1"/>
  <c r="E122" i="6"/>
  <c r="F122" i="6" s="1"/>
  <c r="E123" i="6"/>
  <c r="F123" i="6" s="1"/>
  <c r="E124" i="6"/>
  <c r="F124" i="6" s="1"/>
  <c r="E125" i="6"/>
  <c r="F125" i="6" s="1"/>
  <c r="E2" i="6"/>
  <c r="F2" i="6" s="1"/>
  <c r="C3" i="6" a="1"/>
  <c r="C3" i="6" s="1"/>
  <c r="D3" i="6" s="1"/>
  <c r="C4" i="6" a="1"/>
  <c r="C4" i="6" s="1"/>
  <c r="D4" i="6" s="1"/>
  <c r="J4" i="6" s="1"/>
  <c r="K4" i="6" s="1"/>
  <c r="C5" i="6" a="1"/>
  <c r="C5" i="6" s="1"/>
  <c r="D5" i="6" s="1"/>
  <c r="J5" i="6" s="1"/>
  <c r="K5" i="6" s="1"/>
  <c r="C6" i="6" a="1"/>
  <c r="C6" i="6" s="1"/>
  <c r="D6" i="6" s="1"/>
  <c r="C7" i="6" a="1"/>
  <c r="C7" i="6" s="1"/>
  <c r="D7" i="6" s="1"/>
  <c r="J7" i="6" s="1"/>
  <c r="K7" i="6" s="1"/>
  <c r="C8" i="6" a="1"/>
  <c r="C8" i="6" s="1"/>
  <c r="D8" i="6" s="1"/>
  <c r="J8" i="6" s="1"/>
  <c r="K8" i="6" s="1"/>
  <c r="C9" i="6" a="1"/>
  <c r="C9" i="6" s="1"/>
  <c r="D9" i="6" s="1"/>
  <c r="C10" i="6" a="1"/>
  <c r="C10" i="6" s="1"/>
  <c r="D10" i="6" s="1"/>
  <c r="J10" i="6" s="1"/>
  <c r="K10" i="6" s="1"/>
  <c r="C11" i="6" a="1"/>
  <c r="C11" i="6" s="1"/>
  <c r="D11" i="6" s="1"/>
  <c r="J11" i="6" s="1"/>
  <c r="K11" i="6" s="1"/>
  <c r="C12" i="6" a="1"/>
  <c r="C12" i="6" s="1"/>
  <c r="D12" i="6" s="1"/>
  <c r="C13" i="6" a="1"/>
  <c r="C13" i="6" s="1"/>
  <c r="D13" i="6" s="1"/>
  <c r="C14" i="6" a="1"/>
  <c r="C14" i="6" s="1"/>
  <c r="D14" i="6" s="1"/>
  <c r="C15" i="6" a="1"/>
  <c r="C15" i="6" s="1"/>
  <c r="D15" i="6" s="1"/>
  <c r="C16" i="6" a="1"/>
  <c r="C16" i="6" s="1"/>
  <c r="D16" i="6" s="1"/>
  <c r="J16" i="6" s="1"/>
  <c r="K16" i="6" s="1"/>
  <c r="C17" i="6" a="1"/>
  <c r="C17" i="6" s="1"/>
  <c r="D17" i="6" s="1"/>
  <c r="C18" i="6" a="1"/>
  <c r="C18" i="6" s="1"/>
  <c r="D18" i="6" s="1"/>
  <c r="J18" i="6" s="1"/>
  <c r="K18" i="6" s="1"/>
  <c r="C19" i="6" a="1"/>
  <c r="C19" i="6" s="1"/>
  <c r="D19" i="6" s="1"/>
  <c r="J19" i="6" s="1"/>
  <c r="K19" i="6" s="1"/>
  <c r="C20" i="6" a="1"/>
  <c r="C20" i="6" s="1"/>
  <c r="D20" i="6" s="1"/>
  <c r="J20" i="6" s="1"/>
  <c r="K20" i="6" s="1"/>
  <c r="C21" i="6" a="1"/>
  <c r="C21" i="6" s="1"/>
  <c r="D21" i="6" s="1"/>
  <c r="J21" i="6" s="1"/>
  <c r="K21" i="6" s="1"/>
  <c r="C22" i="6" a="1"/>
  <c r="C22" i="6" s="1"/>
  <c r="D22" i="6" s="1"/>
  <c r="J22" i="6" s="1"/>
  <c r="K22" i="6" s="1"/>
  <c r="C23" i="6" a="1"/>
  <c r="C23" i="6" s="1"/>
  <c r="D23" i="6" s="1"/>
  <c r="C24" i="6" a="1"/>
  <c r="C24" i="6" s="1"/>
  <c r="D24" i="6" s="1"/>
  <c r="C25" i="6" a="1"/>
  <c r="C25" i="6" s="1"/>
  <c r="D25" i="6" s="1"/>
  <c r="C26" i="6" a="1"/>
  <c r="C26" i="6" s="1"/>
  <c r="D26" i="6" s="1"/>
  <c r="C27" i="6" a="1"/>
  <c r="C27" i="6" s="1"/>
  <c r="D27" i="6" s="1"/>
  <c r="C28" i="6" a="1"/>
  <c r="C28" i="6" s="1"/>
  <c r="D28" i="6" s="1"/>
  <c r="C29" i="6" a="1"/>
  <c r="C29" i="6" s="1"/>
  <c r="D29" i="6" s="1"/>
  <c r="C30" i="6" a="1"/>
  <c r="C30" i="6" s="1"/>
  <c r="D30" i="6" s="1"/>
  <c r="C31" i="6" a="1"/>
  <c r="C31" i="6" s="1"/>
  <c r="D31" i="6" s="1"/>
  <c r="C32" i="6" a="1"/>
  <c r="C32" i="6" s="1"/>
  <c r="D32" i="6" s="1"/>
  <c r="C33" i="6" a="1"/>
  <c r="C33" i="6" s="1"/>
  <c r="D33" i="6" s="1"/>
  <c r="C34" i="6" a="1"/>
  <c r="C34" i="6" s="1"/>
  <c r="D34" i="6" s="1"/>
  <c r="C35" i="6" a="1"/>
  <c r="C35" i="6" s="1"/>
  <c r="D35" i="6" s="1"/>
  <c r="C36" i="6" a="1"/>
  <c r="C36" i="6" s="1"/>
  <c r="D36" i="6" s="1"/>
  <c r="C37" i="6" a="1"/>
  <c r="C37" i="6" s="1"/>
  <c r="D37" i="6" s="1"/>
  <c r="C38" i="6" a="1"/>
  <c r="C38" i="6" s="1"/>
  <c r="D38" i="6" s="1"/>
  <c r="C39" i="6" a="1"/>
  <c r="C39" i="6" s="1"/>
  <c r="D39" i="6" s="1"/>
  <c r="C40" i="6" a="1"/>
  <c r="C40" i="6" s="1"/>
  <c r="D40" i="6" s="1"/>
  <c r="C41" i="6" a="1"/>
  <c r="C41" i="6" s="1"/>
  <c r="D41" i="6" s="1"/>
  <c r="J41" i="6" s="1"/>
  <c r="K41" i="6" s="1"/>
  <c r="C42" i="6" a="1"/>
  <c r="C42" i="6" s="1"/>
  <c r="D42" i="6" s="1"/>
  <c r="C43" i="6" a="1"/>
  <c r="C43" i="6" s="1"/>
  <c r="D43" i="6" s="1"/>
  <c r="C44" i="6" a="1"/>
  <c r="C44" i="6" s="1"/>
  <c r="D44" i="6" s="1"/>
  <c r="C45" i="6" a="1"/>
  <c r="C45" i="6" s="1"/>
  <c r="D45" i="6" s="1"/>
  <c r="C46" i="6" a="1"/>
  <c r="C46" i="6" s="1"/>
  <c r="D46" i="6" s="1"/>
  <c r="C47" i="6" a="1"/>
  <c r="C47" i="6" s="1"/>
  <c r="D47" i="6" s="1"/>
  <c r="C48" i="6" a="1"/>
  <c r="C48" i="6" s="1"/>
  <c r="D48" i="6" s="1"/>
  <c r="C49" i="6" a="1"/>
  <c r="C49" i="6" s="1"/>
  <c r="D49" i="6" s="1"/>
  <c r="C50" i="6" a="1"/>
  <c r="C50" i="6" s="1"/>
  <c r="D50" i="6" s="1"/>
  <c r="C51" i="6" a="1"/>
  <c r="C51" i="6" s="1"/>
  <c r="D51" i="6" s="1"/>
  <c r="C52" i="6" a="1"/>
  <c r="C52" i="6" s="1"/>
  <c r="D52" i="6" s="1"/>
  <c r="C53" i="6" a="1"/>
  <c r="C53" i="6" s="1"/>
  <c r="D53" i="6" s="1"/>
  <c r="C54" i="6" a="1"/>
  <c r="C54" i="6" s="1"/>
  <c r="D54" i="6" s="1"/>
  <c r="C55" i="6" a="1"/>
  <c r="C55" i="6" s="1"/>
  <c r="D55" i="6" s="1"/>
  <c r="J55" i="6" s="1"/>
  <c r="K55" i="6" s="1"/>
  <c r="C56" i="6" a="1"/>
  <c r="C56" i="6" s="1"/>
  <c r="D56" i="6" s="1"/>
  <c r="C57" i="6" a="1"/>
  <c r="C57" i="6" s="1"/>
  <c r="D57" i="6" s="1"/>
  <c r="C58" i="6" a="1"/>
  <c r="C58" i="6" s="1"/>
  <c r="D58" i="6" s="1"/>
  <c r="C59" i="6" a="1"/>
  <c r="C59" i="6" s="1"/>
  <c r="D59" i="6" s="1"/>
  <c r="C60" i="6" a="1"/>
  <c r="C60" i="6" s="1"/>
  <c r="D60" i="6" s="1"/>
  <c r="J60" i="6" s="1"/>
  <c r="K60" i="6" s="1"/>
  <c r="C61" i="6" a="1"/>
  <c r="C61" i="6" s="1"/>
  <c r="D61" i="6" s="1"/>
  <c r="C62" i="6" a="1"/>
  <c r="C62" i="6" s="1"/>
  <c r="D62" i="6" s="1"/>
  <c r="C63" i="6" a="1"/>
  <c r="C63" i="6" s="1"/>
  <c r="D63" i="6" s="1"/>
  <c r="C64" i="6" a="1"/>
  <c r="C64" i="6" s="1"/>
  <c r="D64" i="6" s="1"/>
  <c r="C65" i="6" a="1"/>
  <c r="C65" i="6" s="1"/>
  <c r="D65" i="6" s="1"/>
  <c r="J65" i="6" s="1"/>
  <c r="K65" i="6" s="1"/>
  <c r="C66" i="6" a="1"/>
  <c r="C66" i="6" s="1"/>
  <c r="D66" i="6" s="1"/>
  <c r="C67" i="6" a="1"/>
  <c r="C67" i="6" s="1"/>
  <c r="D67" i="6" s="1"/>
  <c r="C68" i="6" a="1"/>
  <c r="C68" i="6" s="1"/>
  <c r="D68" i="6" s="1"/>
  <c r="C69" i="6" a="1"/>
  <c r="C69" i="6" s="1"/>
  <c r="D69" i="6" s="1"/>
  <c r="J69" i="6" s="1"/>
  <c r="K69" i="6" s="1"/>
  <c r="C70" i="6" a="1"/>
  <c r="C70" i="6" s="1"/>
  <c r="D70" i="6" s="1"/>
  <c r="C71" i="6" a="1"/>
  <c r="C71" i="6" s="1"/>
  <c r="D71" i="6" s="1"/>
  <c r="C72" i="6" a="1"/>
  <c r="C72" i="6" s="1"/>
  <c r="D72" i="6" s="1"/>
  <c r="C73" i="6" a="1"/>
  <c r="C73" i="6" s="1"/>
  <c r="D73" i="6" s="1"/>
  <c r="C74" i="6" a="1"/>
  <c r="C74" i="6" s="1"/>
  <c r="D74" i="6" s="1"/>
  <c r="J74" i="6" s="1"/>
  <c r="K74" i="6" s="1"/>
  <c r="C75" i="6" a="1"/>
  <c r="C75" i="6" s="1"/>
  <c r="D75" i="6" s="1"/>
  <c r="C76" i="6" a="1"/>
  <c r="C76" i="6" s="1"/>
  <c r="D76" i="6" s="1"/>
  <c r="C77" i="6" a="1"/>
  <c r="C77" i="6" s="1"/>
  <c r="D77" i="6" s="1"/>
  <c r="C78" i="6" a="1"/>
  <c r="C78" i="6" s="1"/>
  <c r="D78" i="6" s="1"/>
  <c r="J78" i="6" s="1"/>
  <c r="K78" i="6" s="1"/>
  <c r="C79" i="6" a="1"/>
  <c r="C79" i="6" s="1"/>
  <c r="D79" i="6" s="1"/>
  <c r="C80" i="6" a="1"/>
  <c r="C80" i="6" s="1"/>
  <c r="D80" i="6" s="1"/>
  <c r="C81" i="6" a="1"/>
  <c r="C81" i="6" s="1"/>
  <c r="D81" i="6" s="1"/>
  <c r="C82" i="6" a="1"/>
  <c r="C82" i="6" s="1"/>
  <c r="D82" i="6" s="1"/>
  <c r="J82" i="6" s="1"/>
  <c r="K82" i="6" s="1"/>
  <c r="C83" i="6" a="1"/>
  <c r="C83" i="6" s="1"/>
  <c r="D83" i="6" s="1"/>
  <c r="J83" i="6" s="1"/>
  <c r="K83" i="6" s="1"/>
  <c r="C84" i="6" a="1"/>
  <c r="C84" i="6" s="1"/>
  <c r="D84" i="6" s="1"/>
  <c r="C85" i="6" a="1"/>
  <c r="C85" i="6" s="1"/>
  <c r="D85" i="6" s="1"/>
  <c r="C86" i="6" a="1"/>
  <c r="C86" i="6" s="1"/>
  <c r="D86" i="6" s="1"/>
  <c r="C87" i="6" a="1"/>
  <c r="C87" i="6" s="1"/>
  <c r="D87" i="6" s="1"/>
  <c r="C88" i="6" a="1"/>
  <c r="C88" i="6" s="1"/>
  <c r="D88" i="6" s="1"/>
  <c r="C89" i="6" a="1"/>
  <c r="C89" i="6" s="1"/>
  <c r="D89" i="6" s="1"/>
  <c r="C90" i="6" a="1"/>
  <c r="C90" i="6" s="1"/>
  <c r="D90" i="6" s="1"/>
  <c r="C91" i="6" a="1"/>
  <c r="C91" i="6" s="1"/>
  <c r="D91" i="6" s="1"/>
  <c r="J91" i="6" s="1"/>
  <c r="K91" i="6" s="1"/>
  <c r="C92" i="6" a="1"/>
  <c r="C92" i="6" s="1"/>
  <c r="D92" i="6" s="1"/>
  <c r="J92" i="6" s="1"/>
  <c r="K92" i="6" s="1"/>
  <c r="C93" i="6" a="1"/>
  <c r="C93" i="6" s="1"/>
  <c r="D93" i="6" s="1"/>
  <c r="C94" i="6" a="1"/>
  <c r="C94" i="6" s="1"/>
  <c r="D94" i="6" s="1"/>
  <c r="C95" i="6" a="1"/>
  <c r="C95" i="6" s="1"/>
  <c r="D95" i="6" s="1"/>
  <c r="C96" i="6" a="1"/>
  <c r="C96" i="6" s="1"/>
  <c r="D96" i="6" s="1"/>
  <c r="C97" i="6" a="1"/>
  <c r="C97" i="6" s="1"/>
  <c r="D97" i="6" s="1"/>
  <c r="C98" i="6" a="1"/>
  <c r="C98" i="6" s="1"/>
  <c r="D98" i="6" s="1"/>
  <c r="C99" i="6" a="1"/>
  <c r="C99" i="6" s="1"/>
  <c r="D99" i="6" s="1"/>
  <c r="C100" i="6" a="1"/>
  <c r="C100" i="6" s="1"/>
  <c r="D100" i="6" s="1"/>
  <c r="C101" i="6" a="1"/>
  <c r="C101" i="6" s="1"/>
  <c r="D101" i="6" s="1"/>
  <c r="C102" i="6" a="1"/>
  <c r="C102" i="6" s="1"/>
  <c r="D102" i="6" s="1"/>
  <c r="C103" i="6" a="1"/>
  <c r="C103" i="6" s="1"/>
  <c r="D103" i="6" s="1"/>
  <c r="J103" i="6" s="1"/>
  <c r="K103" i="6" s="1"/>
  <c r="C104" i="6" a="1"/>
  <c r="C104" i="6" s="1"/>
  <c r="D104" i="6" s="1"/>
  <c r="C105" i="6" a="1"/>
  <c r="C105" i="6" s="1"/>
  <c r="D105" i="6" s="1"/>
  <c r="J105" i="6" s="1"/>
  <c r="K105" i="6" s="1"/>
  <c r="C106" i="6" a="1"/>
  <c r="C106" i="6" s="1"/>
  <c r="D106" i="6" s="1"/>
  <c r="J106" i="6" s="1"/>
  <c r="K106" i="6" s="1"/>
  <c r="C107" i="6" a="1"/>
  <c r="C107" i="6" s="1"/>
  <c r="D107" i="6" s="1"/>
  <c r="C108" i="6" a="1"/>
  <c r="C108" i="6" s="1"/>
  <c r="D108" i="6" s="1"/>
  <c r="C109" i="6" a="1"/>
  <c r="C109" i="6" s="1"/>
  <c r="D109" i="6" s="1"/>
  <c r="C110" i="6" a="1"/>
  <c r="C110" i="6" s="1"/>
  <c r="D110" i="6" s="1"/>
  <c r="C111" i="6" a="1"/>
  <c r="C111" i="6" s="1"/>
  <c r="D111" i="6" s="1"/>
  <c r="C112" i="6" a="1"/>
  <c r="C112" i="6" s="1"/>
  <c r="D112" i="6" s="1"/>
  <c r="C113" i="6" a="1"/>
  <c r="C113" i="6" s="1"/>
  <c r="D113" i="6" s="1"/>
  <c r="C114" i="6" a="1"/>
  <c r="C114" i="6" s="1"/>
  <c r="D114" i="6" s="1"/>
  <c r="C115" i="6" a="1"/>
  <c r="C115" i="6" s="1"/>
  <c r="D115" i="6" s="1"/>
  <c r="C116" i="6" a="1"/>
  <c r="C116" i="6" s="1"/>
  <c r="D116" i="6" s="1"/>
  <c r="J116" i="6" s="1"/>
  <c r="K116" i="6" s="1"/>
  <c r="C117" i="6" a="1"/>
  <c r="C117" i="6" s="1"/>
  <c r="D117" i="6" s="1"/>
  <c r="J117" i="6" s="1"/>
  <c r="K117" i="6" s="1"/>
  <c r="C118" i="6" a="1"/>
  <c r="C118" i="6" s="1"/>
  <c r="D118" i="6" s="1"/>
  <c r="C119" i="6" a="1"/>
  <c r="C119" i="6" s="1"/>
  <c r="D119" i="6" s="1"/>
  <c r="C120" i="6" a="1"/>
  <c r="C120" i="6" s="1"/>
  <c r="D120" i="6" s="1"/>
  <c r="J120" i="6" s="1"/>
  <c r="K120" i="6" s="1"/>
  <c r="C121" i="6" a="1"/>
  <c r="C121" i="6" s="1"/>
  <c r="D121" i="6" s="1"/>
  <c r="C122" i="6" a="1"/>
  <c r="C122" i="6" s="1"/>
  <c r="D122" i="6" s="1"/>
  <c r="J122" i="6" s="1"/>
  <c r="K122" i="6" s="1"/>
  <c r="C123" i="6" a="1"/>
  <c r="C123" i="6" s="1"/>
  <c r="D123" i="6" s="1"/>
  <c r="C124" i="6" a="1"/>
  <c r="C124" i="6" s="1"/>
  <c r="D124" i="6" s="1"/>
  <c r="C125" i="6" a="1"/>
  <c r="C125" i="6" s="1"/>
  <c r="D125" i="6" s="1"/>
  <c r="C2" i="6" a="1"/>
  <c r="C2" i="6" s="1"/>
  <c r="D2" i="6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2" i="6"/>
  <c r="B3" i="9" l="1"/>
  <c r="B4" i="9"/>
  <c r="C3" i="9"/>
  <c r="C4" i="9"/>
  <c r="B2" i="9"/>
  <c r="O102" i="6"/>
  <c r="O74" i="6"/>
  <c r="O46" i="6"/>
  <c r="O18" i="6"/>
  <c r="P106" i="6"/>
  <c r="P73" i="6"/>
  <c r="P33" i="6"/>
  <c r="P105" i="6"/>
  <c r="Q105" i="6" s="1"/>
  <c r="O122" i="6"/>
  <c r="O94" i="6"/>
  <c r="O66" i="6"/>
  <c r="O38" i="6"/>
  <c r="O10" i="6"/>
  <c r="P104" i="6"/>
  <c r="P63" i="6"/>
  <c r="Q103" i="6"/>
  <c r="Q19" i="6"/>
  <c r="O121" i="6"/>
  <c r="O93" i="6"/>
  <c r="O65" i="6"/>
  <c r="O37" i="6"/>
  <c r="O9" i="6"/>
  <c r="P103" i="6"/>
  <c r="O120" i="6"/>
  <c r="Q120" i="6" s="1"/>
  <c r="O92" i="6"/>
  <c r="Q92" i="6" s="1"/>
  <c r="O64" i="6"/>
  <c r="O36" i="6"/>
  <c r="O8" i="6"/>
  <c r="P101" i="6"/>
  <c r="P61" i="6"/>
  <c r="P20" i="6"/>
  <c r="O119" i="6"/>
  <c r="O91" i="6"/>
  <c r="O63" i="6"/>
  <c r="O35" i="6"/>
  <c r="O7" i="6"/>
  <c r="Q7" i="6" s="1"/>
  <c r="P92" i="6"/>
  <c r="P59" i="6"/>
  <c r="P19" i="6"/>
  <c r="Q106" i="6"/>
  <c r="Q78" i="6"/>
  <c r="O117" i="6"/>
  <c r="Q117" i="6" s="1"/>
  <c r="O89" i="6"/>
  <c r="O61" i="6"/>
  <c r="Q61" i="6" s="1"/>
  <c r="O33" i="6"/>
  <c r="O5" i="6"/>
  <c r="P91" i="6"/>
  <c r="P50" i="6"/>
  <c r="P17" i="6"/>
  <c r="O116" i="6"/>
  <c r="O88" i="6"/>
  <c r="O60" i="6"/>
  <c r="O32" i="6"/>
  <c r="O4" i="6"/>
  <c r="Q4" i="6" s="1"/>
  <c r="P90" i="6"/>
  <c r="P49" i="6"/>
  <c r="P8" i="6"/>
  <c r="Q8" i="6" s="1"/>
  <c r="O115" i="6"/>
  <c r="O87" i="6"/>
  <c r="O59" i="6"/>
  <c r="O31" i="6"/>
  <c r="O3" i="6"/>
  <c r="P89" i="6"/>
  <c r="P48" i="6"/>
  <c r="P7" i="6"/>
  <c r="O108" i="6"/>
  <c r="Q108" i="6" s="1"/>
  <c r="O80" i="6"/>
  <c r="O52" i="6"/>
  <c r="O24" i="6"/>
  <c r="P120" i="6"/>
  <c r="P87" i="6"/>
  <c r="P47" i="6"/>
  <c r="P6" i="6"/>
  <c r="Q38" i="6"/>
  <c r="N10" i="6"/>
  <c r="Q49" i="6"/>
  <c r="N120" i="6"/>
  <c r="Q91" i="6"/>
  <c r="Q33" i="6"/>
  <c r="Q5" i="6"/>
  <c r="N93" i="6"/>
  <c r="R93" i="6" s="1"/>
  <c r="Q75" i="6"/>
  <c r="N11" i="6"/>
  <c r="O118" i="6"/>
  <c r="O104" i="6"/>
  <c r="O90" i="6"/>
  <c r="O76" i="6"/>
  <c r="O62" i="6"/>
  <c r="O48" i="6"/>
  <c r="O34" i="6"/>
  <c r="O20" i="6"/>
  <c r="Q20" i="6" s="1"/>
  <c r="O6" i="6"/>
  <c r="P116" i="6"/>
  <c r="Q116" i="6" s="1"/>
  <c r="P102" i="6"/>
  <c r="P88" i="6"/>
  <c r="P74" i="6"/>
  <c r="Q74" i="6" s="1"/>
  <c r="P60" i="6"/>
  <c r="Q60" i="6" s="1"/>
  <c r="P46" i="6"/>
  <c r="P32" i="6"/>
  <c r="P18" i="6"/>
  <c r="Q18" i="6" s="1"/>
  <c r="P4" i="6"/>
  <c r="P114" i="6"/>
  <c r="P100" i="6"/>
  <c r="P86" i="6"/>
  <c r="P72" i="6"/>
  <c r="P58" i="6"/>
  <c r="P44" i="6"/>
  <c r="P30" i="6"/>
  <c r="P16" i="6"/>
  <c r="P113" i="6"/>
  <c r="P99" i="6"/>
  <c r="P85" i="6"/>
  <c r="P71" i="6"/>
  <c r="P57" i="6"/>
  <c r="P43" i="6"/>
  <c r="P29" i="6"/>
  <c r="P15" i="6"/>
  <c r="O114" i="6"/>
  <c r="O100" i="6"/>
  <c r="O86" i="6"/>
  <c r="O72" i="6"/>
  <c r="O58" i="6"/>
  <c r="O44" i="6"/>
  <c r="Q44" i="6" s="1"/>
  <c r="O30" i="6"/>
  <c r="O16" i="6"/>
  <c r="P2" i="6"/>
  <c r="P112" i="6"/>
  <c r="P98" i="6"/>
  <c r="P84" i="6"/>
  <c r="P70" i="6"/>
  <c r="P56" i="6"/>
  <c r="P42" i="6"/>
  <c r="P28" i="6"/>
  <c r="P14" i="6"/>
  <c r="O113" i="6"/>
  <c r="O99" i="6"/>
  <c r="O85" i="6"/>
  <c r="O71" i="6"/>
  <c r="O57" i="6"/>
  <c r="O43" i="6"/>
  <c r="O29" i="6"/>
  <c r="O15" i="6"/>
  <c r="P125" i="6"/>
  <c r="P111" i="6"/>
  <c r="P97" i="6"/>
  <c r="P83" i="6"/>
  <c r="P69" i="6"/>
  <c r="P55" i="6"/>
  <c r="P41" i="6"/>
  <c r="P27" i="6"/>
  <c r="P13" i="6"/>
  <c r="O2" i="6"/>
  <c r="O112" i="6"/>
  <c r="O98" i="6"/>
  <c r="O84" i="6"/>
  <c r="O70" i="6"/>
  <c r="O56" i="6"/>
  <c r="O42" i="6"/>
  <c r="O28" i="6"/>
  <c r="O14" i="6"/>
  <c r="P124" i="6"/>
  <c r="P110" i="6"/>
  <c r="P96" i="6"/>
  <c r="P82" i="6"/>
  <c r="P68" i="6"/>
  <c r="P54" i="6"/>
  <c r="P40" i="6"/>
  <c r="P26" i="6"/>
  <c r="P12" i="6"/>
  <c r="O125" i="6"/>
  <c r="O111" i="6"/>
  <c r="O97" i="6"/>
  <c r="O83" i="6"/>
  <c r="Q83" i="6" s="1"/>
  <c r="O69" i="6"/>
  <c r="Q69" i="6" s="1"/>
  <c r="O55" i="6"/>
  <c r="O41" i="6"/>
  <c r="O27" i="6"/>
  <c r="O13" i="6"/>
  <c r="P123" i="6"/>
  <c r="P109" i="6"/>
  <c r="P95" i="6"/>
  <c r="P81" i="6"/>
  <c r="P67" i="6"/>
  <c r="P53" i="6"/>
  <c r="P39" i="6"/>
  <c r="P25" i="6"/>
  <c r="P11" i="6"/>
  <c r="O124" i="6"/>
  <c r="O110" i="6"/>
  <c r="O96" i="6"/>
  <c r="O82" i="6"/>
  <c r="O68" i="6"/>
  <c r="O54" i="6"/>
  <c r="O40" i="6"/>
  <c r="O26" i="6"/>
  <c r="O12" i="6"/>
  <c r="P122" i="6"/>
  <c r="Q122" i="6" s="1"/>
  <c r="P108" i="6"/>
  <c r="P94" i="6"/>
  <c r="P80" i="6"/>
  <c r="P66" i="6"/>
  <c r="P52" i="6"/>
  <c r="P38" i="6"/>
  <c r="P24" i="6"/>
  <c r="P10" i="6"/>
  <c r="O123" i="6"/>
  <c r="O109" i="6"/>
  <c r="O95" i="6"/>
  <c r="O81" i="6"/>
  <c r="O67" i="6"/>
  <c r="O53" i="6"/>
  <c r="O39" i="6"/>
  <c r="O25" i="6"/>
  <c r="O11" i="6"/>
  <c r="P121" i="6"/>
  <c r="P107" i="6"/>
  <c r="P93" i="6"/>
  <c r="P79" i="6"/>
  <c r="Q79" i="6" s="1"/>
  <c r="P65" i="6"/>
  <c r="Q65" i="6" s="1"/>
  <c r="P51" i="6"/>
  <c r="P37" i="6"/>
  <c r="P23" i="6"/>
  <c r="Q23" i="6" s="1"/>
  <c r="P9" i="6"/>
  <c r="M113" i="6"/>
  <c r="M51" i="6"/>
  <c r="M50" i="6"/>
  <c r="L94" i="6"/>
  <c r="L86" i="6"/>
  <c r="L38" i="6"/>
  <c r="M99" i="6"/>
  <c r="M93" i="6"/>
  <c r="M85" i="6"/>
  <c r="L66" i="6"/>
  <c r="M92" i="6"/>
  <c r="M72" i="6"/>
  <c r="M39" i="6"/>
  <c r="L68" i="6"/>
  <c r="M40" i="6"/>
  <c r="M37" i="6"/>
  <c r="N37" i="6" s="1"/>
  <c r="L26" i="6"/>
  <c r="M78" i="6"/>
  <c r="N78" i="6" s="1"/>
  <c r="R78" i="6" s="1"/>
  <c r="L25" i="6"/>
  <c r="L24" i="6"/>
  <c r="M71" i="6"/>
  <c r="M23" i="6"/>
  <c r="L124" i="6"/>
  <c r="N124" i="6" s="1"/>
  <c r="L16" i="6"/>
  <c r="N16" i="6" s="1"/>
  <c r="M67" i="6"/>
  <c r="L123" i="6"/>
  <c r="M15" i="6"/>
  <c r="N15" i="6" s="1"/>
  <c r="L122" i="6"/>
  <c r="N122" i="6" s="1"/>
  <c r="M65" i="6"/>
  <c r="N65" i="6" s="1"/>
  <c r="R65" i="6" s="1"/>
  <c r="L114" i="6"/>
  <c r="M121" i="6"/>
  <c r="M64" i="6"/>
  <c r="L100" i="6"/>
  <c r="M52" i="6"/>
  <c r="L69" i="6"/>
  <c r="N69" i="6" s="1"/>
  <c r="R69" i="6" s="1"/>
  <c r="J125" i="6"/>
  <c r="K125" i="6" s="1"/>
  <c r="L98" i="6"/>
  <c r="N98" i="6" s="1"/>
  <c r="J111" i="6"/>
  <c r="K111" i="6" s="1"/>
  <c r="L97" i="6"/>
  <c r="L30" i="6"/>
  <c r="M96" i="6"/>
  <c r="J97" i="6"/>
  <c r="K97" i="6" s="1"/>
  <c r="L2" i="6"/>
  <c r="L28" i="6"/>
  <c r="M95" i="6"/>
  <c r="M70" i="6"/>
  <c r="M44" i="6"/>
  <c r="J96" i="6"/>
  <c r="K96" i="6" s="1"/>
  <c r="L125" i="6"/>
  <c r="N125" i="6" s="1"/>
  <c r="L58" i="6"/>
  <c r="L27" i="6"/>
  <c r="N27" i="6" s="1"/>
  <c r="M120" i="6"/>
  <c r="M43" i="6"/>
  <c r="M22" i="6"/>
  <c r="L84" i="6"/>
  <c r="L54" i="6"/>
  <c r="M112" i="6"/>
  <c r="M14" i="6"/>
  <c r="J68" i="6"/>
  <c r="K68" i="6" s="1"/>
  <c r="L56" i="6"/>
  <c r="M42" i="6"/>
  <c r="L83" i="6"/>
  <c r="N83" i="6" s="1"/>
  <c r="R83" i="6" s="1"/>
  <c r="L53" i="6"/>
  <c r="M110" i="6"/>
  <c r="M12" i="6"/>
  <c r="L82" i="6"/>
  <c r="N82" i="6" s="1"/>
  <c r="M109" i="6"/>
  <c r="M11" i="6"/>
  <c r="J54" i="6"/>
  <c r="K54" i="6" s="1"/>
  <c r="L111" i="6"/>
  <c r="L81" i="6"/>
  <c r="L13" i="6"/>
  <c r="M108" i="6"/>
  <c r="M57" i="6"/>
  <c r="N57" i="6" s="1"/>
  <c r="M36" i="6"/>
  <c r="M10" i="6"/>
  <c r="J53" i="6"/>
  <c r="L80" i="6"/>
  <c r="M107" i="6"/>
  <c r="M9" i="6"/>
  <c r="L41" i="6"/>
  <c r="N41" i="6" s="1"/>
  <c r="M106" i="6"/>
  <c r="M29" i="6"/>
  <c r="M8" i="6"/>
  <c r="J40" i="6"/>
  <c r="K40" i="6" s="1"/>
  <c r="N40" i="6" s="1"/>
  <c r="L55" i="6"/>
  <c r="N55" i="6" s="1"/>
  <c r="M79" i="6"/>
  <c r="N79" i="6" s="1"/>
  <c r="R79" i="6" s="1"/>
  <c r="J13" i="6"/>
  <c r="K13" i="6" s="1"/>
  <c r="J44" i="6"/>
  <c r="K44" i="6" s="1"/>
  <c r="N44" i="6" s="1"/>
  <c r="J30" i="6"/>
  <c r="J93" i="6"/>
  <c r="K93" i="6" s="1"/>
  <c r="Q93" i="6" s="1"/>
  <c r="L117" i="6"/>
  <c r="N117" i="6" s="1"/>
  <c r="R117" i="6" s="1"/>
  <c r="L103" i="6"/>
  <c r="N103" i="6" s="1"/>
  <c r="L89" i="6"/>
  <c r="L75" i="6"/>
  <c r="L61" i="6"/>
  <c r="N61" i="6" s="1"/>
  <c r="L47" i="6"/>
  <c r="N47" i="6" s="1"/>
  <c r="L33" i="6"/>
  <c r="N33" i="6" s="1"/>
  <c r="L19" i="6"/>
  <c r="N19" i="6" s="1"/>
  <c r="L5" i="6"/>
  <c r="N5" i="6" s="1"/>
  <c r="R5" i="6" s="1"/>
  <c r="M115" i="6"/>
  <c r="M101" i="6"/>
  <c r="M87" i="6"/>
  <c r="M73" i="6"/>
  <c r="M59" i="6"/>
  <c r="M45" i="6"/>
  <c r="M31" i="6"/>
  <c r="M17" i="6"/>
  <c r="M3" i="6"/>
  <c r="J102" i="6"/>
  <c r="K102" i="6" s="1"/>
  <c r="Q102" i="6" s="1"/>
  <c r="J88" i="6"/>
  <c r="K88" i="6" s="1"/>
  <c r="Q88" i="6" s="1"/>
  <c r="J46" i="6"/>
  <c r="K46" i="6" s="1"/>
  <c r="J32" i="6"/>
  <c r="K32" i="6" s="1"/>
  <c r="L116" i="6"/>
  <c r="N116" i="6" s="1"/>
  <c r="R116" i="6" s="1"/>
  <c r="L102" i="6"/>
  <c r="L88" i="6"/>
  <c r="L74" i="6"/>
  <c r="N74" i="6" s="1"/>
  <c r="L60" i="6"/>
  <c r="N60" i="6" s="1"/>
  <c r="L46" i="6"/>
  <c r="L32" i="6"/>
  <c r="L18" i="6"/>
  <c r="N18" i="6" s="1"/>
  <c r="L4" i="6"/>
  <c r="N4" i="6" s="1"/>
  <c r="J115" i="6"/>
  <c r="K115" i="6" s="1"/>
  <c r="J101" i="6"/>
  <c r="K101" i="6" s="1"/>
  <c r="J87" i="6"/>
  <c r="K87" i="6" s="1"/>
  <c r="Q87" i="6" s="1"/>
  <c r="J73" i="6"/>
  <c r="K73" i="6" s="1"/>
  <c r="Q73" i="6" s="1"/>
  <c r="J59" i="6"/>
  <c r="K59" i="6" s="1"/>
  <c r="Q59" i="6" s="1"/>
  <c r="J45" i="6"/>
  <c r="K45" i="6" s="1"/>
  <c r="Q45" i="6" s="1"/>
  <c r="J31" i="6"/>
  <c r="K31" i="6" s="1"/>
  <c r="Q31" i="6" s="1"/>
  <c r="J17" i="6"/>
  <c r="K17" i="6" s="1"/>
  <c r="Q17" i="6" s="1"/>
  <c r="J3" i="6"/>
  <c r="K3" i="6" s="1"/>
  <c r="Q3" i="6" s="1"/>
  <c r="J27" i="6"/>
  <c r="K27" i="6" s="1"/>
  <c r="J114" i="6"/>
  <c r="K114" i="6" s="1"/>
  <c r="J100" i="6"/>
  <c r="K100" i="6" s="1"/>
  <c r="J86" i="6"/>
  <c r="J72" i="6"/>
  <c r="K72" i="6" s="1"/>
  <c r="J58" i="6"/>
  <c r="K58" i="6" s="1"/>
  <c r="J2" i="6"/>
  <c r="K2" i="6" s="1"/>
  <c r="J113" i="6"/>
  <c r="J99" i="6"/>
  <c r="K99" i="6" s="1"/>
  <c r="N99" i="6" s="1"/>
  <c r="J85" i="6"/>
  <c r="K85" i="6" s="1"/>
  <c r="N85" i="6" s="1"/>
  <c r="J71" i="6"/>
  <c r="K71" i="6" s="1"/>
  <c r="J57" i="6"/>
  <c r="K57" i="6" s="1"/>
  <c r="J43" i="6"/>
  <c r="K43" i="6" s="1"/>
  <c r="N43" i="6" s="1"/>
  <c r="J29" i="6"/>
  <c r="K29" i="6" s="1"/>
  <c r="J15" i="6"/>
  <c r="K15" i="6" s="1"/>
  <c r="J112" i="6"/>
  <c r="K112" i="6" s="1"/>
  <c r="J98" i="6"/>
  <c r="K98" i="6" s="1"/>
  <c r="J84" i="6"/>
  <c r="J70" i="6"/>
  <c r="K70" i="6" s="1"/>
  <c r="J56" i="6"/>
  <c r="K56" i="6" s="1"/>
  <c r="J42" i="6"/>
  <c r="K42" i="6" s="1"/>
  <c r="N42" i="6" s="1"/>
  <c r="J28" i="6"/>
  <c r="K28" i="6" s="1"/>
  <c r="J14" i="6"/>
  <c r="K14" i="6" s="1"/>
  <c r="J108" i="6"/>
  <c r="K108" i="6" s="1"/>
  <c r="N108" i="6" s="1"/>
  <c r="J94" i="6"/>
  <c r="K94" i="6" s="1"/>
  <c r="J80" i="6"/>
  <c r="K80" i="6" s="1"/>
  <c r="Q80" i="6" s="1"/>
  <c r="J66" i="6"/>
  <c r="K66" i="6" s="1"/>
  <c r="Q66" i="6" s="1"/>
  <c r="J52" i="6"/>
  <c r="K52" i="6" s="1"/>
  <c r="N52" i="6" s="1"/>
  <c r="J38" i="6"/>
  <c r="K38" i="6" s="1"/>
  <c r="J24" i="6"/>
  <c r="K24" i="6" s="1"/>
  <c r="J124" i="6"/>
  <c r="K124" i="6" s="1"/>
  <c r="J110" i="6"/>
  <c r="K110" i="6" s="1"/>
  <c r="N110" i="6" s="1"/>
  <c r="J26" i="6"/>
  <c r="K26" i="6" s="1"/>
  <c r="J12" i="6"/>
  <c r="K12" i="6" s="1"/>
  <c r="J123" i="6"/>
  <c r="K123" i="6" s="1"/>
  <c r="J109" i="6"/>
  <c r="J95" i="6"/>
  <c r="K95" i="6" s="1"/>
  <c r="N95" i="6" s="1"/>
  <c r="J81" i="6"/>
  <c r="K81" i="6" s="1"/>
  <c r="J67" i="6"/>
  <c r="K67" i="6" s="1"/>
  <c r="J39" i="6"/>
  <c r="K39" i="6" s="1"/>
  <c r="J25" i="6"/>
  <c r="J121" i="6"/>
  <c r="K121" i="6" s="1"/>
  <c r="J107" i="6"/>
  <c r="K107" i="6" s="1"/>
  <c r="Q107" i="6" s="1"/>
  <c r="J79" i="6"/>
  <c r="K79" i="6" s="1"/>
  <c r="J51" i="6"/>
  <c r="J37" i="6"/>
  <c r="K37" i="6" s="1"/>
  <c r="J23" i="6"/>
  <c r="K23" i="6" s="1"/>
  <c r="N23" i="6" s="1"/>
  <c r="J9" i="6"/>
  <c r="K9" i="6" s="1"/>
  <c r="M119" i="6"/>
  <c r="M105" i="6"/>
  <c r="M91" i="6"/>
  <c r="M77" i="6"/>
  <c r="N77" i="6" s="1"/>
  <c r="R77" i="6" s="1"/>
  <c r="M63" i="6"/>
  <c r="M49" i="6"/>
  <c r="M35" i="6"/>
  <c r="M21" i="6"/>
  <c r="M7" i="6"/>
  <c r="N7" i="6" s="1"/>
  <c r="J64" i="6"/>
  <c r="J50" i="6"/>
  <c r="K50" i="6" s="1"/>
  <c r="Q50" i="6" s="1"/>
  <c r="J36" i="6"/>
  <c r="K36" i="6" s="1"/>
  <c r="N36" i="6" s="1"/>
  <c r="M118" i="6"/>
  <c r="M104" i="6"/>
  <c r="M90" i="6"/>
  <c r="M76" i="6"/>
  <c r="M62" i="6"/>
  <c r="M48" i="6"/>
  <c r="M34" i="6"/>
  <c r="M20" i="6"/>
  <c r="M6" i="6"/>
  <c r="J119" i="6"/>
  <c r="K119" i="6" s="1"/>
  <c r="Q119" i="6" s="1"/>
  <c r="J77" i="6"/>
  <c r="K77" i="6" s="1"/>
  <c r="Q77" i="6" s="1"/>
  <c r="J63" i="6"/>
  <c r="K63" i="6" s="1"/>
  <c r="J49" i="6"/>
  <c r="K49" i="6" s="1"/>
  <c r="N49" i="6" s="1"/>
  <c r="R49" i="6" s="1"/>
  <c r="J35" i="6"/>
  <c r="K35" i="6" s="1"/>
  <c r="J118" i="6"/>
  <c r="K118" i="6" s="1"/>
  <c r="N118" i="6" s="1"/>
  <c r="J104" i="6"/>
  <c r="K104" i="6" s="1"/>
  <c r="N104" i="6" s="1"/>
  <c r="J90" i="6"/>
  <c r="K90" i="6" s="1"/>
  <c r="N90" i="6" s="1"/>
  <c r="J76" i="6"/>
  <c r="K76" i="6" s="1"/>
  <c r="N76" i="6" s="1"/>
  <c r="J62" i="6"/>
  <c r="K62" i="6" s="1"/>
  <c r="J48" i="6"/>
  <c r="K48" i="6" s="1"/>
  <c r="J34" i="6"/>
  <c r="K34" i="6" s="1"/>
  <c r="J6" i="6"/>
  <c r="K6" i="6" s="1"/>
  <c r="N6" i="6" s="1"/>
  <c r="J89" i="6"/>
  <c r="K89" i="6" s="1"/>
  <c r="Q89" i="6" s="1"/>
  <c r="J75" i="6"/>
  <c r="K75" i="6" s="1"/>
  <c r="J61" i="6"/>
  <c r="K61" i="6" s="1"/>
  <c r="J47" i="6"/>
  <c r="K47" i="6" s="1"/>
  <c r="Q47" i="6" s="1"/>
  <c r="J33" i="6"/>
  <c r="K33" i="6" s="1"/>
  <c r="R7" i="6" l="1"/>
  <c r="R37" i="6"/>
  <c r="R99" i="6"/>
  <c r="R122" i="6"/>
  <c r="Q112" i="6"/>
  <c r="R76" i="6"/>
  <c r="R15" i="6"/>
  <c r="R42" i="6"/>
  <c r="Q85" i="6"/>
  <c r="N9" i="6"/>
  <c r="N12" i="6"/>
  <c r="Q115" i="6"/>
  <c r="N75" i="6"/>
  <c r="R75" i="6" s="1"/>
  <c r="N97" i="6"/>
  <c r="N67" i="6"/>
  <c r="R67" i="6" s="1"/>
  <c r="Q99" i="6"/>
  <c r="R120" i="6"/>
  <c r="R19" i="6"/>
  <c r="Q6" i="6"/>
  <c r="R6" i="6" s="1"/>
  <c r="N59" i="6"/>
  <c r="R59" i="6" s="1"/>
  <c r="N34" i="6"/>
  <c r="N48" i="6"/>
  <c r="R85" i="6"/>
  <c r="N14" i="6"/>
  <c r="Q46" i="6"/>
  <c r="R47" i="6"/>
  <c r="Q40" i="6"/>
  <c r="R40" i="6" s="1"/>
  <c r="R23" i="6"/>
  <c r="N70" i="6"/>
  <c r="R70" i="6" s="1"/>
  <c r="N89" i="6"/>
  <c r="R89" i="6" s="1"/>
  <c r="Q10" i="6"/>
  <c r="N35" i="6"/>
  <c r="R18" i="6"/>
  <c r="R98" i="6"/>
  <c r="N32" i="6"/>
  <c r="R32" i="6" s="1"/>
  <c r="N45" i="6"/>
  <c r="R45" i="6" s="1"/>
  <c r="N80" i="6"/>
  <c r="R80" i="6" s="1"/>
  <c r="N73" i="6"/>
  <c r="R73" i="6" s="1"/>
  <c r="Q94" i="6"/>
  <c r="R108" i="6"/>
  <c r="N62" i="6"/>
  <c r="R62" i="6" s="1"/>
  <c r="R33" i="6"/>
  <c r="N68" i="6"/>
  <c r="Q2" i="6"/>
  <c r="Q101" i="6"/>
  <c r="N72" i="6"/>
  <c r="R72" i="6" s="1"/>
  <c r="R36" i="6"/>
  <c r="R103" i="6"/>
  <c r="N63" i="6"/>
  <c r="Q24" i="6"/>
  <c r="N112" i="6"/>
  <c r="N71" i="6"/>
  <c r="N107" i="6"/>
  <c r="R107" i="6" s="1"/>
  <c r="Q32" i="6"/>
  <c r="Q81" i="6"/>
  <c r="R10" i="6"/>
  <c r="Q95" i="6"/>
  <c r="R95" i="6" s="1"/>
  <c r="Q71" i="6"/>
  <c r="R16" i="6"/>
  <c r="Q37" i="6"/>
  <c r="R60" i="6"/>
  <c r="N96" i="6"/>
  <c r="Q48" i="6"/>
  <c r="Q57" i="6"/>
  <c r="R57" i="6" s="1"/>
  <c r="N39" i="6"/>
  <c r="R39" i="6" s="1"/>
  <c r="R61" i="6"/>
  <c r="R4" i="6"/>
  <c r="R82" i="6"/>
  <c r="N66" i="6"/>
  <c r="R66" i="6" s="1"/>
  <c r="N121" i="6"/>
  <c r="R121" i="6" s="1"/>
  <c r="N29" i="6"/>
  <c r="R74" i="6"/>
  <c r="R44" i="6"/>
  <c r="Q58" i="6"/>
  <c r="Q72" i="6"/>
  <c r="K86" i="6"/>
  <c r="N86" i="6" s="1"/>
  <c r="Q41" i="6"/>
  <c r="R41" i="6" s="1"/>
  <c r="K51" i="6"/>
  <c r="N58" i="6"/>
  <c r="R58" i="6" s="1"/>
  <c r="Q110" i="6"/>
  <c r="R110" i="6" s="1"/>
  <c r="Q55" i="6"/>
  <c r="R55" i="6" s="1"/>
  <c r="Q100" i="6"/>
  <c r="Q36" i="6"/>
  <c r="N119" i="6"/>
  <c r="R119" i="6" s="1"/>
  <c r="Q82" i="6"/>
  <c r="N101" i="6"/>
  <c r="K64" i="6"/>
  <c r="N46" i="6"/>
  <c r="R46" i="6" s="1"/>
  <c r="K53" i="6"/>
  <c r="Q53" i="6" s="1"/>
  <c r="N53" i="6"/>
  <c r="Q124" i="6"/>
  <c r="R124" i="6" s="1"/>
  <c r="Q14" i="6"/>
  <c r="Q114" i="6"/>
  <c r="Q34" i="6"/>
  <c r="Q35" i="6"/>
  <c r="N105" i="6"/>
  <c r="R105" i="6" s="1"/>
  <c r="N123" i="6"/>
  <c r="N22" i="6"/>
  <c r="R22" i="6" s="1"/>
  <c r="N87" i="6"/>
  <c r="R87" i="6" s="1"/>
  <c r="K30" i="6"/>
  <c r="N30" i="6" s="1"/>
  <c r="Q28" i="6"/>
  <c r="Q63" i="6"/>
  <c r="Q121" i="6"/>
  <c r="N92" i="6"/>
  <c r="R92" i="6" s="1"/>
  <c r="Q123" i="6"/>
  <c r="Q27" i="6"/>
  <c r="R27" i="6" s="1"/>
  <c r="Q97" i="6"/>
  <c r="K25" i="6"/>
  <c r="N25" i="6" s="1"/>
  <c r="N88" i="6"/>
  <c r="R88" i="6" s="1"/>
  <c r="N56" i="6"/>
  <c r="N94" i="6"/>
  <c r="Q111" i="6"/>
  <c r="Q56" i="6"/>
  <c r="Q76" i="6"/>
  <c r="N91" i="6"/>
  <c r="R91" i="6" s="1"/>
  <c r="N20" i="6"/>
  <c r="R20" i="6" s="1"/>
  <c r="K113" i="6"/>
  <c r="N113" i="6" s="1"/>
  <c r="Q13" i="6"/>
  <c r="K84" i="6"/>
  <c r="N84" i="6" s="1"/>
  <c r="Q96" i="6"/>
  <c r="N115" i="6"/>
  <c r="R115" i="6" s="1"/>
  <c r="N100" i="6"/>
  <c r="R100" i="6" s="1"/>
  <c r="N21" i="6"/>
  <c r="R21" i="6" s="1"/>
  <c r="N102" i="6"/>
  <c r="R102" i="6" s="1"/>
  <c r="N26" i="6"/>
  <c r="R26" i="6" s="1"/>
  <c r="Q39" i="6"/>
  <c r="Q125" i="6"/>
  <c r="R125" i="6" s="1"/>
  <c r="Q70" i="6"/>
  <c r="Q15" i="6"/>
  <c r="Q90" i="6"/>
  <c r="R90" i="6" s="1"/>
  <c r="N3" i="6"/>
  <c r="R3" i="6" s="1"/>
  <c r="N50" i="6"/>
  <c r="R50" i="6" s="1"/>
  <c r="N24" i="6"/>
  <c r="R24" i="6" s="1"/>
  <c r="Q11" i="6"/>
  <c r="R11" i="6" s="1"/>
  <c r="N13" i="6"/>
  <c r="R13" i="6" s="1"/>
  <c r="N28" i="6"/>
  <c r="N114" i="6"/>
  <c r="Q29" i="6"/>
  <c r="Q104" i="6"/>
  <c r="R104" i="6" s="1"/>
  <c r="Q52" i="6"/>
  <c r="R52" i="6" s="1"/>
  <c r="N17" i="6"/>
  <c r="R17" i="6" s="1"/>
  <c r="N106" i="6"/>
  <c r="R106" i="6" s="1"/>
  <c r="K109" i="6"/>
  <c r="N109" i="6" s="1"/>
  <c r="Q54" i="6"/>
  <c r="Q68" i="6"/>
  <c r="Q9" i="6"/>
  <c r="Q86" i="6"/>
  <c r="N38" i="6"/>
  <c r="R38" i="6" s="1"/>
  <c r="Q42" i="6"/>
  <c r="Q62" i="6"/>
  <c r="N81" i="6"/>
  <c r="N2" i="6"/>
  <c r="Q67" i="6"/>
  <c r="Q12" i="6"/>
  <c r="Q98" i="6"/>
  <c r="Q43" i="6"/>
  <c r="R43" i="6" s="1"/>
  <c r="Q118" i="6"/>
  <c r="R118" i="6" s="1"/>
  <c r="N31" i="6"/>
  <c r="R31" i="6" s="1"/>
  <c r="N111" i="6"/>
  <c r="R111" i="6" s="1"/>
  <c r="N54" i="6"/>
  <c r="R54" i="6" s="1"/>
  <c r="Q26" i="6"/>
  <c r="Q16" i="6"/>
  <c r="N8" i="6"/>
  <c r="R8" i="6" s="1"/>
  <c r="R35" i="6" l="1"/>
  <c r="R34" i="6"/>
  <c r="R53" i="6"/>
  <c r="R2" i="6"/>
  <c r="Q109" i="6"/>
  <c r="R109" i="6" s="1"/>
  <c r="R68" i="6"/>
  <c r="R112" i="6"/>
  <c r="R84" i="6"/>
  <c r="R30" i="6"/>
  <c r="R81" i="6"/>
  <c r="R101" i="6"/>
  <c r="R63" i="6"/>
  <c r="R86" i="6"/>
  <c r="R71" i="6"/>
  <c r="R97" i="6"/>
  <c r="Q84" i="6"/>
  <c r="Q25" i="6"/>
  <c r="R25" i="6" s="1"/>
  <c r="R94" i="6"/>
  <c r="R123" i="6"/>
  <c r="R96" i="6"/>
  <c r="R14" i="6"/>
  <c r="R12" i="6"/>
  <c r="R114" i="6"/>
  <c r="R56" i="6"/>
  <c r="R29" i="6"/>
  <c r="R9" i="6"/>
  <c r="R28" i="6"/>
  <c r="Q30" i="6"/>
  <c r="R48" i="6"/>
  <c r="N51" i="6"/>
  <c r="Q51" i="6"/>
  <c r="Q64" i="6"/>
  <c r="N64" i="6"/>
  <c r="R64" i="6" s="1"/>
  <c r="Q113" i="6"/>
  <c r="R113" i="6" s="1"/>
  <c r="R51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<sst xmlns="http://schemas.openxmlformats.org/spreadsheetml/2006/main" count="2016" uniqueCount="524">
  <si>
    <t>AWB Code</t>
  </si>
  <si>
    <t>Order ID</t>
  </si>
  <si>
    <t>Charged Weight</t>
  </si>
  <si>
    <t>Warehouse Pincode</t>
  </si>
  <si>
    <t>Customer Pincode</t>
  </si>
  <si>
    <t>Zone</t>
  </si>
  <si>
    <t>Type of Shipment</t>
  </si>
  <si>
    <t>Billing Amount (Rs.)</t>
  </si>
  <si>
    <t>1091117222124</t>
  </si>
  <si>
    <t>2001806232</t>
  </si>
  <si>
    <t>1.3</t>
  </si>
  <si>
    <t>507101</t>
  </si>
  <si>
    <t>d</t>
  </si>
  <si>
    <t>Forward charges</t>
  </si>
  <si>
    <t>135</t>
  </si>
  <si>
    <t>1091117222194</t>
  </si>
  <si>
    <t>2001806273</t>
  </si>
  <si>
    <t>1</t>
  </si>
  <si>
    <t>486886</t>
  </si>
  <si>
    <t>90.2</t>
  </si>
  <si>
    <t>1091117222931</t>
  </si>
  <si>
    <t>2001806408</t>
  </si>
  <si>
    <t>2.5</t>
  </si>
  <si>
    <t>532484</t>
  </si>
  <si>
    <t>224.6</t>
  </si>
  <si>
    <t>1091117223244</t>
  </si>
  <si>
    <t>2001806458</t>
  </si>
  <si>
    <t>143001</t>
  </si>
  <si>
    <t>b</t>
  </si>
  <si>
    <t>61.3</t>
  </si>
  <si>
    <t>1091117229345</t>
  </si>
  <si>
    <t>2001807012</t>
  </si>
  <si>
    <t>0.15</t>
  </si>
  <si>
    <t>515591</t>
  </si>
  <si>
    <t>45.4</t>
  </si>
  <si>
    <t>1091117229555</t>
  </si>
  <si>
    <t>2001806686</t>
  </si>
  <si>
    <t>326502</t>
  </si>
  <si>
    <t>1091117229776</t>
  </si>
  <si>
    <t>2001806885</t>
  </si>
  <si>
    <t>208019</t>
  </si>
  <si>
    <t>1091117323112</t>
  </si>
  <si>
    <t>2001807058</t>
  </si>
  <si>
    <t>1.15</t>
  </si>
  <si>
    <t>140301</t>
  </si>
  <si>
    <t>89.6</t>
  </si>
  <si>
    <t>1091117323812</t>
  </si>
  <si>
    <t>2001807186</t>
  </si>
  <si>
    <t>0.5</t>
  </si>
  <si>
    <t>396001</t>
  </si>
  <si>
    <t>1091117324206</t>
  </si>
  <si>
    <t>2001807290</t>
  </si>
  <si>
    <t>711106</t>
  </si>
  <si>
    <t>1091117326612</t>
  </si>
  <si>
    <t>2001807814</t>
  </si>
  <si>
    <t>0.79</t>
  </si>
  <si>
    <t>284001</t>
  </si>
  <si>
    <t>1091117327172</t>
  </si>
  <si>
    <t>2001807931</t>
  </si>
  <si>
    <t>0.72</t>
  </si>
  <si>
    <t>441601</t>
  </si>
  <si>
    <t>1091117327275</t>
  </si>
  <si>
    <t>2001807956</t>
  </si>
  <si>
    <t>1.08</t>
  </si>
  <si>
    <t>248006</t>
  </si>
  <si>
    <t>1091117327312</t>
  </si>
  <si>
    <t>2001807960</t>
  </si>
  <si>
    <t>485001</t>
  </si>
  <si>
    <t>1091117327695</t>
  </si>
  <si>
    <t>2001807930</t>
  </si>
  <si>
    <t>845438</t>
  </si>
  <si>
    <t>1091117435005</t>
  </si>
  <si>
    <t>2001808102</t>
  </si>
  <si>
    <t>1.28</t>
  </si>
  <si>
    <t>463106</t>
  </si>
  <si>
    <t>1091117435134</t>
  </si>
  <si>
    <t>2001808118</t>
  </si>
  <si>
    <t>33</t>
  </si>
  <si>
    <t>1091117435370</t>
  </si>
  <si>
    <t>2001808207</t>
  </si>
  <si>
    <t>495671</t>
  </si>
  <si>
    <t>1091117435661</t>
  </si>
  <si>
    <t>2001808295</t>
  </si>
  <si>
    <t>0.2</t>
  </si>
  <si>
    <t>673002</t>
  </si>
  <si>
    <t>e</t>
  </si>
  <si>
    <t>Forward and RTO charges</t>
  </si>
  <si>
    <t>107.3</t>
  </si>
  <si>
    <t>1091117436383</t>
  </si>
  <si>
    <t>2001808507</t>
  </si>
  <si>
    <t>208002</t>
  </si>
  <si>
    <t>1091117436464</t>
  </si>
  <si>
    <t>2001808542</t>
  </si>
  <si>
    <t>0.86</t>
  </si>
  <si>
    <t>416010</t>
  </si>
  <si>
    <t>1091117437050</t>
  </si>
  <si>
    <t>2001808675</t>
  </si>
  <si>
    <t>1.2</t>
  </si>
  <si>
    <t>226010</t>
  </si>
  <si>
    <t>1091117327496</t>
  </si>
  <si>
    <t>2001807976</t>
  </si>
  <si>
    <t>0.7</t>
  </si>
  <si>
    <t>400705</t>
  </si>
  <si>
    <t>172.8</t>
  </si>
  <si>
    <t>1091118547832</t>
  </si>
  <si>
    <t>2001812838</t>
  </si>
  <si>
    <t>0.6</t>
  </si>
  <si>
    <t>262405</t>
  </si>
  <si>
    <t>102.3</t>
  </si>
  <si>
    <t>1091119398844</t>
  </si>
  <si>
    <t>2001816684</t>
  </si>
  <si>
    <t>0.99</t>
  </si>
  <si>
    <t>394210</t>
  </si>
  <si>
    <t>1091119630264</t>
  </si>
  <si>
    <t>2001817160</t>
  </si>
  <si>
    <t>411014</t>
  </si>
  <si>
    <t>1091120014461</t>
  </si>
  <si>
    <t>2001818390</t>
  </si>
  <si>
    <t>0.8</t>
  </si>
  <si>
    <t>783301</t>
  </si>
  <si>
    <t>213.5</t>
  </si>
  <si>
    <t>1091120959015</t>
  </si>
  <si>
    <t>2001821190</t>
  </si>
  <si>
    <t>486661</t>
  </si>
  <si>
    <t>258.9</t>
  </si>
  <si>
    <t>1091121485824</t>
  </si>
  <si>
    <t>2001817093</t>
  </si>
  <si>
    <t>244001</t>
  </si>
  <si>
    <t>151.1</t>
  </si>
  <si>
    <t>1091121666133</t>
  </si>
  <si>
    <t>2001823564</t>
  </si>
  <si>
    <t>492001</t>
  </si>
  <si>
    <t>1091121981575</t>
  </si>
  <si>
    <t>2001825261</t>
  </si>
  <si>
    <t>1.6</t>
  </si>
  <si>
    <t>517128</t>
  </si>
  <si>
    <t>345</t>
  </si>
  <si>
    <t>1091117957780</t>
  </si>
  <si>
    <t>2001811192</t>
  </si>
  <si>
    <t>1.13</t>
  </si>
  <si>
    <t>562110</t>
  </si>
  <si>
    <t>1091121482593</t>
  </si>
  <si>
    <t>2001809917</t>
  </si>
  <si>
    <t>831006</t>
  </si>
  <si>
    <t>1091117221940</t>
  </si>
  <si>
    <t>2001806210</t>
  </si>
  <si>
    <t>2.92</t>
  </si>
  <si>
    <t>140604</t>
  </si>
  <si>
    <t>174.5</t>
  </si>
  <si>
    <t>1091117222065</t>
  </si>
  <si>
    <t>2001806226</t>
  </si>
  <si>
    <t>0.68</t>
  </si>
  <si>
    <t>723146</t>
  </si>
  <si>
    <t>1091117222080</t>
  </si>
  <si>
    <t>2001806229</t>
  </si>
  <si>
    <t>0.71</t>
  </si>
  <si>
    <t>421204</t>
  </si>
  <si>
    <t>1091117222135</t>
  </si>
  <si>
    <t>2001806233</t>
  </si>
  <si>
    <t>0.78</t>
  </si>
  <si>
    <t>263139</t>
  </si>
  <si>
    <t>1091117222146</t>
  </si>
  <si>
    <t>2001806251</t>
  </si>
  <si>
    <t>1.27</t>
  </si>
  <si>
    <t>743263</t>
  </si>
  <si>
    <t>1091117222570</t>
  </si>
  <si>
    <t>2001806338</t>
  </si>
  <si>
    <t>392150</t>
  </si>
  <si>
    <t>1091117223211</t>
  </si>
  <si>
    <t>2001806446</t>
  </si>
  <si>
    <t>0.69</t>
  </si>
  <si>
    <t>382830</t>
  </si>
  <si>
    <t>1091117224353</t>
  </si>
  <si>
    <t>2001806533</t>
  </si>
  <si>
    <t>711303</t>
  </si>
  <si>
    <t>1091117224611</t>
  </si>
  <si>
    <t>2001806547</t>
  </si>
  <si>
    <t>283102</t>
  </si>
  <si>
    <t>1091117224902</t>
  </si>
  <si>
    <t>2001806567</t>
  </si>
  <si>
    <t>1.16</t>
  </si>
  <si>
    <t>370201</t>
  </si>
  <si>
    <t>1091117225016</t>
  </si>
  <si>
    <t>2001806575</t>
  </si>
  <si>
    <t>248001</t>
  </si>
  <si>
    <t>1091117225484</t>
  </si>
  <si>
    <t>2001806616</t>
  </si>
  <si>
    <t>144001</t>
  </si>
  <si>
    <t>1091117226221</t>
  </si>
  <si>
    <t>2001806652</t>
  </si>
  <si>
    <t>403401</t>
  </si>
  <si>
    <t>1091117226674</t>
  </si>
  <si>
    <t>2001806733</t>
  </si>
  <si>
    <t>452001</t>
  </si>
  <si>
    <t>1091117226711</t>
  </si>
  <si>
    <t>2001806735</t>
  </si>
  <si>
    <t>721636</t>
  </si>
  <si>
    <t>1091117226910</t>
  </si>
  <si>
    <t>2001806726</t>
  </si>
  <si>
    <t>831002</t>
  </si>
  <si>
    <t>1091117227573</t>
  </si>
  <si>
    <t>2001806776</t>
  </si>
  <si>
    <t>2.86</t>
  </si>
  <si>
    <t>226004</t>
  </si>
  <si>
    <t>1091117227816</t>
  </si>
  <si>
    <t>2001806801</t>
  </si>
  <si>
    <t>1.35</t>
  </si>
  <si>
    <t>1091117229290</t>
  </si>
  <si>
    <t>2001807004</t>
  </si>
  <si>
    <t>410206</t>
  </si>
  <si>
    <t>1091117323005</t>
  </si>
  <si>
    <t>2001807036</t>
  </si>
  <si>
    <t>1.64</t>
  </si>
  <si>
    <t>516503</t>
  </si>
  <si>
    <t>179.8</t>
  </si>
  <si>
    <t>1091117323215</t>
  </si>
  <si>
    <t>2001807084</t>
  </si>
  <si>
    <t>0.67</t>
  </si>
  <si>
    <t>742103</t>
  </si>
  <si>
    <t>1091117324394</t>
  </si>
  <si>
    <t>2001807362</t>
  </si>
  <si>
    <t>2</t>
  </si>
  <si>
    <t>452018</t>
  </si>
  <si>
    <t>1091117325094</t>
  </si>
  <si>
    <t>2001807415</t>
  </si>
  <si>
    <t>208001</t>
  </si>
  <si>
    <t>1091117616121</t>
  </si>
  <si>
    <t>2001809592</t>
  </si>
  <si>
    <t>1.5</t>
  </si>
  <si>
    <t>244713</t>
  </si>
  <si>
    <t>1091117795531</t>
  </si>
  <si>
    <t>2001809794</t>
  </si>
  <si>
    <t>580007</t>
  </si>
  <si>
    <t>1091117795623</t>
  </si>
  <si>
    <t>2001809820</t>
  </si>
  <si>
    <t>3</t>
  </si>
  <si>
    <t>360005</t>
  </si>
  <si>
    <t>269.4</t>
  </si>
  <si>
    <t>1091117223351</t>
  </si>
  <si>
    <t>2001806471</t>
  </si>
  <si>
    <t>1.7</t>
  </si>
  <si>
    <t>313027</t>
  </si>
  <si>
    <t>1091117324011</t>
  </si>
  <si>
    <t>2001807241</t>
  </si>
  <si>
    <t>341001</t>
  </si>
  <si>
    <t>1091117327570</t>
  </si>
  <si>
    <t>2001807981</t>
  </si>
  <si>
    <t>332715</t>
  </si>
  <si>
    <t>1091117435602</t>
  </si>
  <si>
    <t>2001808286</t>
  </si>
  <si>
    <t>0.77</t>
  </si>
  <si>
    <t>302031</t>
  </si>
  <si>
    <t>1091117437680</t>
  </si>
  <si>
    <t>2001808801</t>
  </si>
  <si>
    <t>335001</t>
  </si>
  <si>
    <t>1091117804200</t>
  </si>
  <si>
    <t>2001810104</t>
  </si>
  <si>
    <t>0.76</t>
  </si>
  <si>
    <t>334004</t>
  </si>
  <si>
    <t>1091117957533</t>
  </si>
  <si>
    <t>2001811153</t>
  </si>
  <si>
    <t>321001</t>
  </si>
  <si>
    <t>1091117957942</t>
  </si>
  <si>
    <t>2001811229</t>
  </si>
  <si>
    <t>324001</t>
  </si>
  <si>
    <t>1091117958395</t>
  </si>
  <si>
    <t>2001811363</t>
  </si>
  <si>
    <t>0.59</t>
  </si>
  <si>
    <t>321608</t>
  </si>
  <si>
    <t>1091118001865</t>
  </si>
  <si>
    <t>2001811466</t>
  </si>
  <si>
    <t>302002</t>
  </si>
  <si>
    <t>1091118009786</t>
  </si>
  <si>
    <t>2001811809</t>
  </si>
  <si>
    <t>311011</t>
  </si>
  <si>
    <t>86.7</t>
  </si>
  <si>
    <t>1091118548333</t>
  </si>
  <si>
    <t>2001812854</t>
  </si>
  <si>
    <t>2.94</t>
  </si>
  <si>
    <t>306302</t>
  </si>
  <si>
    <t>1091118553701</t>
  </si>
  <si>
    <t>2001813009</t>
  </si>
  <si>
    <t>313001</t>
  </si>
  <si>
    <t>1091118591534</t>
  </si>
  <si>
    <t>2001812650</t>
  </si>
  <si>
    <t>0.61</t>
  </si>
  <si>
    <t>1091118925110</t>
  </si>
  <si>
    <t>2001814580</t>
  </si>
  <si>
    <t>322255</t>
  </si>
  <si>
    <t>1091119169701</t>
  </si>
  <si>
    <t>2001815688</t>
  </si>
  <si>
    <t>302017</t>
  </si>
  <si>
    <t>1091119367193</t>
  </si>
  <si>
    <t>2001816131</t>
  </si>
  <si>
    <t>1091119429202</t>
  </si>
  <si>
    <t>2001816996</t>
  </si>
  <si>
    <t>335512</t>
  </si>
  <si>
    <t>1091120959225</t>
  </si>
  <si>
    <t>2001821185</t>
  </si>
  <si>
    <t>2.1</t>
  </si>
  <si>
    <t>1091120962515</t>
  </si>
  <si>
    <t>2001821284</t>
  </si>
  <si>
    <t>1091121031745</t>
  </si>
  <si>
    <t>2001821679</t>
  </si>
  <si>
    <t>307026</t>
  </si>
  <si>
    <t>1091121034114</t>
  </si>
  <si>
    <t>2001821742</t>
  </si>
  <si>
    <t>327025</t>
  </si>
  <si>
    <t>1091121034350</t>
  </si>
  <si>
    <t>2001821750</t>
  </si>
  <si>
    <t>313333</t>
  </si>
  <si>
    <t>1091121034641</t>
  </si>
  <si>
    <t>2001821766</t>
  </si>
  <si>
    <t>1091121183730</t>
  </si>
  <si>
    <t>2001821995</t>
  </si>
  <si>
    <t>342008</t>
  </si>
  <si>
    <t>1091121185863</t>
  </si>
  <si>
    <t>2001821502</t>
  </si>
  <si>
    <t>314401</t>
  </si>
  <si>
    <t>1091121305541</t>
  </si>
  <si>
    <t>2001822466</t>
  </si>
  <si>
    <t>1.1</t>
  </si>
  <si>
    <t>342301</t>
  </si>
  <si>
    <t>1091121306101</t>
  </si>
  <si>
    <t>2001820690</t>
  </si>
  <si>
    <t>313003</t>
  </si>
  <si>
    <t>1091118004245</t>
  </si>
  <si>
    <t>2001811604</t>
  </si>
  <si>
    <t>173212</t>
  </si>
  <si>
    <t>1091120352712</t>
  </si>
  <si>
    <t>2001819252</t>
  </si>
  <si>
    <t>0.3</t>
  </si>
  <si>
    <t>174101</t>
  </si>
  <si>
    <t>1091122418320</t>
  </si>
  <si>
    <t>2001827036</t>
  </si>
  <si>
    <t>173213</t>
  </si>
  <si>
    <t>117.9</t>
  </si>
  <si>
    <t>1091117222360</t>
  </si>
  <si>
    <t>2001806304</t>
  </si>
  <si>
    <t>1091117227116</t>
  </si>
  <si>
    <t>2001806768</t>
  </si>
  <si>
    <t>1.02</t>
  </si>
  <si>
    <t>322201</t>
  </si>
  <si>
    <t>1091117228133</t>
  </si>
  <si>
    <t>2001806823</t>
  </si>
  <si>
    <t>314001</t>
  </si>
  <si>
    <t>1091117228192</t>
  </si>
  <si>
    <t>2001806828</t>
  </si>
  <si>
    <t>331022</t>
  </si>
  <si>
    <t>1091117229183</t>
  </si>
  <si>
    <t>2001806968</t>
  </si>
  <si>
    <t>305801</t>
  </si>
  <si>
    <t>1091117324346</t>
  </si>
  <si>
    <t>2001807328</t>
  </si>
  <si>
    <t>2.28</t>
  </si>
  <si>
    <t>335502</t>
  </si>
  <si>
    <t>1091117326424</t>
  </si>
  <si>
    <t>2001807785</t>
  </si>
  <si>
    <t>306116</t>
  </si>
  <si>
    <t>1091117326925</t>
  </si>
  <si>
    <t>2001807852</t>
  </si>
  <si>
    <t>0.74</t>
  </si>
  <si>
    <t>311001</t>
  </si>
  <si>
    <t>1091117327474</t>
  </si>
  <si>
    <t>2001807970</t>
  </si>
  <si>
    <t>4.13</t>
  </si>
  <si>
    <t>302019</t>
  </si>
  <si>
    <t>403.8</t>
  </si>
  <si>
    <t>1091117333100</t>
  </si>
  <si>
    <t>2001807329</t>
  </si>
  <si>
    <t>0.73</t>
  </si>
  <si>
    <t>302039</t>
  </si>
  <si>
    <t>1091117333251</t>
  </si>
  <si>
    <t>2001807613</t>
  </si>
  <si>
    <t>1.04</t>
  </si>
  <si>
    <t>335803</t>
  </si>
  <si>
    <t>1091117436346</t>
  </si>
  <si>
    <t>2001808475</t>
  </si>
  <si>
    <t>1091117436652</t>
  </si>
  <si>
    <t>2001808585</t>
  </si>
  <si>
    <t>175101</t>
  </si>
  <si>
    <t>1091117437035</t>
  </si>
  <si>
    <t>2001808679</t>
  </si>
  <si>
    <t>303903</t>
  </si>
  <si>
    <t>1091117437293</t>
  </si>
  <si>
    <t>2001808739</t>
  </si>
  <si>
    <t>1.63</t>
  </si>
  <si>
    <t>342012</t>
  </si>
  <si>
    <t>1091117437864</t>
  </si>
  <si>
    <t>2001808832</t>
  </si>
  <si>
    <t>2.47</t>
  </si>
  <si>
    <t>334001</t>
  </si>
  <si>
    <t>1091117437890</t>
  </si>
  <si>
    <t>2001808837</t>
  </si>
  <si>
    <t>1091117438074</t>
  </si>
  <si>
    <t>2001808883</t>
  </si>
  <si>
    <t>302012</t>
  </si>
  <si>
    <t>1091117611501</t>
  </si>
  <si>
    <t>2001808992</t>
  </si>
  <si>
    <t>342014</t>
  </si>
  <si>
    <t>1091117613962</t>
  </si>
  <si>
    <t>2001809270</t>
  </si>
  <si>
    <t>324005</t>
  </si>
  <si>
    <t>1091117803511</t>
  </si>
  <si>
    <t>2001809934</t>
  </si>
  <si>
    <t>0.82</t>
  </si>
  <si>
    <t>302001</t>
  </si>
  <si>
    <t>1091117804314</t>
  </si>
  <si>
    <t>2001810125</t>
  </si>
  <si>
    <t>0.66</t>
  </si>
  <si>
    <t>302004</t>
  </si>
  <si>
    <t>1091117805390</t>
  </si>
  <si>
    <t>2001810281</t>
  </si>
  <si>
    <t>302018</t>
  </si>
  <si>
    <t>1091117806263</t>
  </si>
  <si>
    <t>2001810549</t>
  </si>
  <si>
    <t>1.86</t>
  </si>
  <si>
    <t>1091117807140</t>
  </si>
  <si>
    <t>2001810697</t>
  </si>
  <si>
    <t>2.27</t>
  </si>
  <si>
    <t>324008</t>
  </si>
  <si>
    <t>1091117904860</t>
  </si>
  <si>
    <t>2001811039</t>
  </si>
  <si>
    <t>302020</t>
  </si>
  <si>
    <t>1091117905022</t>
  </si>
  <si>
    <t>2001811058</t>
  </si>
  <si>
    <t>1091117958163</t>
  </si>
  <si>
    <t>2001811306</t>
  </si>
  <si>
    <t>1091118442390</t>
  </si>
  <si>
    <t>2001812195</t>
  </si>
  <si>
    <t>1091118551656</t>
  </si>
  <si>
    <t>2001812941</t>
  </si>
  <si>
    <t>325207</t>
  </si>
  <si>
    <t>1091117614452</t>
  </si>
  <si>
    <t>2001809383</t>
  </si>
  <si>
    <t>303702</t>
  </si>
  <si>
    <t>1091120922803</t>
  </si>
  <si>
    <t>2001820978</t>
  </si>
  <si>
    <t>313301</t>
  </si>
  <si>
    <t>1091121844806</t>
  </si>
  <si>
    <t>2001811475</t>
  </si>
  <si>
    <t>1091121846136</t>
  </si>
  <si>
    <t>2001811305</t>
  </si>
  <si>
    <t>ExternOrderNo</t>
  </si>
  <si>
    <t>SKU</t>
  </si>
  <si>
    <t>Order Qty</t>
  </si>
  <si>
    <t>1.00</t>
  </si>
  <si>
    <t>GIFTBOX202002</t>
  </si>
  <si>
    <t>2.00</t>
  </si>
  <si>
    <t>SACHETS001</t>
  </si>
  <si>
    <t>4.00</t>
  </si>
  <si>
    <t>3.00</t>
  </si>
  <si>
    <t>8.00</t>
  </si>
  <si>
    <t>GIFTBOX202003</t>
  </si>
  <si>
    <t>GIFTBOX202004</t>
  </si>
  <si>
    <t>GIFTBOX202001</t>
  </si>
  <si>
    <t>6.00</t>
  </si>
  <si>
    <t>Weight (g)</t>
  </si>
  <si>
    <t>fwd_a_fixed</t>
  </si>
  <si>
    <t>fwd_a_additional</t>
  </si>
  <si>
    <t>fwd_b_fixed</t>
  </si>
  <si>
    <t>fwd_b_additional</t>
  </si>
  <si>
    <t>fwd_c_fixed</t>
  </si>
  <si>
    <t>fwd_c_additional</t>
  </si>
  <si>
    <t>fwd_d_fixed</t>
  </si>
  <si>
    <t>fwd_d_additional</t>
  </si>
  <si>
    <t>fwd_e_fixed</t>
  </si>
  <si>
    <t>fwd_e_additional</t>
  </si>
  <si>
    <t>rto_a_fixed</t>
  </si>
  <si>
    <t>rto_a_additional</t>
  </si>
  <si>
    <t>rto_b_fixed</t>
  </si>
  <si>
    <t>rto_b_additional</t>
  </si>
  <si>
    <t>rto_c_fixed</t>
  </si>
  <si>
    <t>rto_c_additional</t>
  </si>
  <si>
    <t>rto_d_fixed</t>
  </si>
  <si>
    <t>rto_d_additional</t>
  </si>
  <si>
    <t>rto_e_fixed</t>
  </si>
  <si>
    <t>rto_e_additional</t>
  </si>
  <si>
    <t>AWB</t>
  </si>
  <si>
    <t>Total Weight as per X(Kg)</t>
  </si>
  <si>
    <t>Weight slab as per X(Kg)</t>
  </si>
  <si>
    <t>Weigt Slab charged by Courier Company(Kg)</t>
  </si>
  <si>
    <t>Total Weight as per Courier Company (KG)</t>
  </si>
  <si>
    <t>Delivery Zone as per X</t>
  </si>
  <si>
    <t>Delivery Zone Charged by Courier Company</t>
  </si>
  <si>
    <t>a</t>
  </si>
  <si>
    <t>c</t>
  </si>
  <si>
    <t>fwd_fixed</t>
  </si>
  <si>
    <t>fwd_additional</t>
  </si>
  <si>
    <t>rto_fixed</t>
  </si>
  <si>
    <t>rto_additional</t>
  </si>
  <si>
    <t>Charges Billed by Courier Company(Rs)</t>
  </si>
  <si>
    <t>Number of 0.5 Kg Slab</t>
  </si>
  <si>
    <t>Additonal Slab</t>
  </si>
  <si>
    <t>Forward  Total</t>
  </si>
  <si>
    <t>RTO Fixed</t>
  </si>
  <si>
    <t>RTO Additional</t>
  </si>
  <si>
    <t xml:space="preserve">RTO Total </t>
  </si>
  <si>
    <t xml:space="preserve"> Expected Charge as per X </t>
  </si>
  <si>
    <t xml:space="preserve">Difference </t>
  </si>
  <si>
    <t>Forward Additonal Charge</t>
  </si>
  <si>
    <t>Forward Fixed Charge</t>
  </si>
  <si>
    <t>Category</t>
  </si>
  <si>
    <t>Count</t>
  </si>
  <si>
    <t>Amount(Rs)</t>
  </si>
  <si>
    <t>Correctly Charged Orders</t>
  </si>
  <si>
    <t>Overcharged Orders</t>
  </si>
  <si>
    <t>Undercharged Orders</t>
  </si>
  <si>
    <t>Sheet 2</t>
  </si>
  <si>
    <t>Sheet 3</t>
  </si>
  <si>
    <t>Sheet 4</t>
  </si>
  <si>
    <t>Sheet 5</t>
  </si>
  <si>
    <t>Sheet 6</t>
  </si>
  <si>
    <t>Sheet 1</t>
  </si>
  <si>
    <t>Courier Company Invoice</t>
  </si>
  <si>
    <t>Company X-Order Report</t>
  </si>
  <si>
    <t>Company X-SKU Master</t>
  </si>
  <si>
    <t>Company X-Pincode Zones</t>
  </si>
  <si>
    <t>Courier Company -Rates</t>
  </si>
  <si>
    <t>Summary</t>
  </si>
  <si>
    <t>It is a summry table of overall work done</t>
  </si>
  <si>
    <t>Columns as per Output Data 1</t>
  </si>
  <si>
    <t>Sheets</t>
  </si>
  <si>
    <t>Name of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</si>
</sst>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2">
    <cellStyle name="Normal" xfId="0" builtinId="0"/>
    <cellStyle name="Normal 2" xfId="1" xr:uid="{CA47EE32-78AF-4C49-8976-B8652B041DD8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D0341A-EC8E-4F0C-8AA9-68A577966124}" name="Table2" displayName="Table2" ref="A1:C5" totalsRowShown="0">
  <autoFilter ref="A1:C5" xr:uid="{1AD0341A-EC8E-4F0C-8AA9-68A577966124}"/>
  <tableColumns count="3">
    <tableColumn id="1" xr3:uid="{19C7B763-0D50-4766-A5CA-8F493B517550}" name="Category"/>
    <tableColumn id="2" xr3:uid="{559FFF6F-A18A-408A-B6D0-0D30111339AA}" name="Count" dataDxfId="0">
      <calculatedColumnFormula>COUNTIF(Sheet6!S:S,"&gt;0")</calculatedColumnFormula>
    </tableColumn>
    <tableColumn id="3" xr3:uid="{A0EEE597-F5E1-48E3-8C9B-8662BB6E93EA}" name="Amount(R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8E98-64DD-435D-B19F-500CE6FC4E10}">
  <dimension ref="A1:B8"/>
  <sheetViews>
    <sheetView tabSelected="1" workbookViewId="0">
      <selection activeCell="B16" sqref="B16"/>
    </sheetView>
  </sheetViews>
  <sheetFormatPr defaultRowHeight="14.25" x14ac:dyDescent="0.45"/>
  <cols>
    <col min="2" max="2" width="35.1328125" customWidth="1"/>
  </cols>
  <sheetData>
    <row r="1" spans="1:2" ht="18" x14ac:dyDescent="0.55000000000000004">
      <c r="A1" s="6" t="s">
        <v>522</v>
      </c>
      <c r="B1" s="6" t="s">
        <v>523</v>
      </c>
    </row>
    <row r="2" spans="1:2" x14ac:dyDescent="0.45">
      <c r="A2" t="s">
        <v>513</v>
      </c>
      <c r="B2" t="s">
        <v>514</v>
      </c>
    </row>
    <row r="3" spans="1:2" x14ac:dyDescent="0.45">
      <c r="A3" t="s">
        <v>508</v>
      </c>
      <c r="B3" t="s">
        <v>515</v>
      </c>
    </row>
    <row r="4" spans="1:2" x14ac:dyDescent="0.45">
      <c r="A4" t="s">
        <v>509</v>
      </c>
      <c r="B4" t="s">
        <v>516</v>
      </c>
    </row>
    <row r="5" spans="1:2" x14ac:dyDescent="0.45">
      <c r="A5" t="s">
        <v>510</v>
      </c>
      <c r="B5" t="s">
        <v>517</v>
      </c>
    </row>
    <row r="6" spans="1:2" x14ac:dyDescent="0.45">
      <c r="A6" t="s">
        <v>511</v>
      </c>
      <c r="B6" t="s">
        <v>518</v>
      </c>
    </row>
    <row r="7" spans="1:2" x14ac:dyDescent="0.45">
      <c r="A7" t="s">
        <v>512</v>
      </c>
      <c r="B7" s="5" t="s">
        <v>521</v>
      </c>
    </row>
    <row r="8" spans="1:2" x14ac:dyDescent="0.45">
      <c r="A8" t="s">
        <v>519</v>
      </c>
      <c r="B8" t="s">
        <v>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3ED3-2D4C-4B63-A88D-DEBA57F5D386}">
  <dimension ref="A1:H125"/>
  <sheetViews>
    <sheetView workbookViewId="0">
      <selection activeCell="G2" sqref="G2"/>
    </sheetView>
  </sheetViews>
  <sheetFormatPr defaultRowHeight="14.25" x14ac:dyDescent="0.45"/>
  <cols>
    <col min="1" max="1" width="18.19921875" customWidth="1"/>
    <col min="2" max="2" width="14.06640625" customWidth="1"/>
    <col min="3" max="3" width="11.33203125" customWidth="1"/>
    <col min="7" max="7" width="14.59765625" customWidth="1"/>
    <col min="8" max="8" width="15.796875" customWidth="1"/>
    <col min="10" max="10" width="11.59765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121003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45">
      <c r="A3" t="s">
        <v>15</v>
      </c>
      <c r="B3" t="s">
        <v>16</v>
      </c>
      <c r="C3" t="s">
        <v>17</v>
      </c>
      <c r="D3">
        <v>121003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45">
      <c r="A4" t="s">
        <v>20</v>
      </c>
      <c r="B4" t="s">
        <v>21</v>
      </c>
      <c r="C4" t="s">
        <v>22</v>
      </c>
      <c r="D4">
        <v>121003</v>
      </c>
      <c r="E4" t="s">
        <v>23</v>
      </c>
      <c r="F4" t="s">
        <v>12</v>
      </c>
      <c r="G4" t="s">
        <v>13</v>
      </c>
      <c r="H4" t="s">
        <v>24</v>
      </c>
    </row>
    <row r="5" spans="1:8" x14ac:dyDescent="0.45">
      <c r="A5" t="s">
        <v>25</v>
      </c>
      <c r="B5" t="s">
        <v>26</v>
      </c>
      <c r="C5" t="s">
        <v>17</v>
      </c>
      <c r="D5">
        <v>121003</v>
      </c>
      <c r="E5" t="s">
        <v>27</v>
      </c>
      <c r="F5" t="s">
        <v>28</v>
      </c>
      <c r="G5" t="s">
        <v>13</v>
      </c>
      <c r="H5" t="s">
        <v>29</v>
      </c>
    </row>
    <row r="6" spans="1:8" x14ac:dyDescent="0.45">
      <c r="A6" t="s">
        <v>30</v>
      </c>
      <c r="B6" t="s">
        <v>31</v>
      </c>
      <c r="C6" t="s">
        <v>32</v>
      </c>
      <c r="D6">
        <v>121003</v>
      </c>
      <c r="E6" t="s">
        <v>33</v>
      </c>
      <c r="F6" t="s">
        <v>12</v>
      </c>
      <c r="G6" t="s">
        <v>13</v>
      </c>
      <c r="H6" t="s">
        <v>34</v>
      </c>
    </row>
    <row r="7" spans="1:8" x14ac:dyDescent="0.45">
      <c r="A7" t="s">
        <v>35</v>
      </c>
      <c r="B7" t="s">
        <v>36</v>
      </c>
      <c r="C7" t="s">
        <v>32</v>
      </c>
      <c r="D7">
        <v>121003</v>
      </c>
      <c r="E7" t="s">
        <v>37</v>
      </c>
      <c r="F7" t="s">
        <v>12</v>
      </c>
      <c r="G7" t="s">
        <v>13</v>
      </c>
      <c r="H7" t="s">
        <v>34</v>
      </c>
    </row>
    <row r="8" spans="1:8" x14ac:dyDescent="0.45">
      <c r="A8" t="s">
        <v>38</v>
      </c>
      <c r="B8" t="s">
        <v>39</v>
      </c>
      <c r="C8" t="s">
        <v>17</v>
      </c>
      <c r="D8">
        <v>121003</v>
      </c>
      <c r="E8" t="s">
        <v>40</v>
      </c>
      <c r="F8" t="s">
        <v>28</v>
      </c>
      <c r="G8" t="s">
        <v>13</v>
      </c>
      <c r="H8" t="s">
        <v>29</v>
      </c>
    </row>
    <row r="9" spans="1:8" x14ac:dyDescent="0.45">
      <c r="A9" t="s">
        <v>41</v>
      </c>
      <c r="B9" t="s">
        <v>42</v>
      </c>
      <c r="C9" t="s">
        <v>43</v>
      </c>
      <c r="D9">
        <v>121003</v>
      </c>
      <c r="E9" t="s">
        <v>44</v>
      </c>
      <c r="F9" t="s">
        <v>28</v>
      </c>
      <c r="G9" t="s">
        <v>13</v>
      </c>
      <c r="H9" t="s">
        <v>45</v>
      </c>
    </row>
    <row r="10" spans="1:8" x14ac:dyDescent="0.45">
      <c r="A10" t="s">
        <v>46</v>
      </c>
      <c r="B10" t="s">
        <v>47</v>
      </c>
      <c r="C10" t="s">
        <v>48</v>
      </c>
      <c r="D10">
        <v>121003</v>
      </c>
      <c r="E10" t="s">
        <v>49</v>
      </c>
      <c r="F10" t="s">
        <v>12</v>
      </c>
      <c r="G10" t="s">
        <v>13</v>
      </c>
      <c r="H10" t="s">
        <v>34</v>
      </c>
    </row>
    <row r="11" spans="1:8" x14ac:dyDescent="0.45">
      <c r="A11" t="s">
        <v>50</v>
      </c>
      <c r="B11" t="s">
        <v>51</v>
      </c>
      <c r="C11" t="s">
        <v>48</v>
      </c>
      <c r="D11">
        <v>121003</v>
      </c>
      <c r="E11" t="s">
        <v>52</v>
      </c>
      <c r="F11" t="s">
        <v>12</v>
      </c>
      <c r="G11" t="s">
        <v>13</v>
      </c>
      <c r="H11" t="s">
        <v>34</v>
      </c>
    </row>
    <row r="12" spans="1:8" x14ac:dyDescent="0.45">
      <c r="A12" t="s">
        <v>53</v>
      </c>
      <c r="B12" t="s">
        <v>54</v>
      </c>
      <c r="C12" t="s">
        <v>55</v>
      </c>
      <c r="D12">
        <v>121003</v>
      </c>
      <c r="E12" t="s">
        <v>56</v>
      </c>
      <c r="F12" t="s">
        <v>28</v>
      </c>
      <c r="G12" t="s">
        <v>13</v>
      </c>
      <c r="H12" t="s">
        <v>29</v>
      </c>
    </row>
    <row r="13" spans="1:8" x14ac:dyDescent="0.45">
      <c r="A13" t="s">
        <v>57</v>
      </c>
      <c r="B13" t="s">
        <v>58</v>
      </c>
      <c r="C13" t="s">
        <v>59</v>
      </c>
      <c r="D13">
        <v>121003</v>
      </c>
      <c r="E13" t="s">
        <v>60</v>
      </c>
      <c r="F13" t="s">
        <v>12</v>
      </c>
      <c r="G13" t="s">
        <v>13</v>
      </c>
      <c r="H13" t="s">
        <v>19</v>
      </c>
    </row>
    <row r="14" spans="1:8" x14ac:dyDescent="0.45">
      <c r="A14" t="s">
        <v>61</v>
      </c>
      <c r="B14" t="s">
        <v>62</v>
      </c>
      <c r="C14" t="s">
        <v>63</v>
      </c>
      <c r="D14">
        <v>121003</v>
      </c>
      <c r="E14" t="s">
        <v>64</v>
      </c>
      <c r="F14" t="s">
        <v>28</v>
      </c>
      <c r="G14" t="s">
        <v>13</v>
      </c>
      <c r="H14" t="s">
        <v>45</v>
      </c>
    </row>
    <row r="15" spans="1:8" x14ac:dyDescent="0.45">
      <c r="A15" t="s">
        <v>65</v>
      </c>
      <c r="B15" t="s">
        <v>66</v>
      </c>
      <c r="C15" t="s">
        <v>17</v>
      </c>
      <c r="D15">
        <v>121003</v>
      </c>
      <c r="E15" t="s">
        <v>67</v>
      </c>
      <c r="F15" t="s">
        <v>12</v>
      </c>
      <c r="G15" t="s">
        <v>13</v>
      </c>
      <c r="H15" t="s">
        <v>19</v>
      </c>
    </row>
    <row r="16" spans="1:8" x14ac:dyDescent="0.45">
      <c r="A16" t="s">
        <v>68</v>
      </c>
      <c r="B16" t="s">
        <v>69</v>
      </c>
      <c r="C16" t="s">
        <v>32</v>
      </c>
      <c r="D16">
        <v>121003</v>
      </c>
      <c r="E16" t="s">
        <v>70</v>
      </c>
      <c r="F16" t="s">
        <v>12</v>
      </c>
      <c r="G16" t="s">
        <v>13</v>
      </c>
      <c r="H16" t="s">
        <v>34</v>
      </c>
    </row>
    <row r="17" spans="1:8" x14ac:dyDescent="0.45">
      <c r="A17" t="s">
        <v>71</v>
      </c>
      <c r="B17" t="s">
        <v>72</v>
      </c>
      <c r="C17" t="s">
        <v>73</v>
      </c>
      <c r="D17">
        <v>121003</v>
      </c>
      <c r="E17" t="s">
        <v>74</v>
      </c>
      <c r="F17" t="s">
        <v>12</v>
      </c>
      <c r="G17" t="s">
        <v>13</v>
      </c>
      <c r="H17" t="s">
        <v>14</v>
      </c>
    </row>
    <row r="18" spans="1:8" x14ac:dyDescent="0.45">
      <c r="A18" t="s">
        <v>75</v>
      </c>
      <c r="B18" t="s">
        <v>76</v>
      </c>
      <c r="C18" t="s">
        <v>48</v>
      </c>
      <c r="D18">
        <v>121003</v>
      </c>
      <c r="E18" t="s">
        <v>44</v>
      </c>
      <c r="F18" t="s">
        <v>28</v>
      </c>
      <c r="G18" t="s">
        <v>13</v>
      </c>
      <c r="H18" t="s">
        <v>77</v>
      </c>
    </row>
    <row r="19" spans="1:8" x14ac:dyDescent="0.45">
      <c r="A19" t="s">
        <v>78</v>
      </c>
      <c r="B19" t="s">
        <v>79</v>
      </c>
      <c r="C19" t="s">
        <v>55</v>
      </c>
      <c r="D19">
        <v>121003</v>
      </c>
      <c r="E19" t="s">
        <v>80</v>
      </c>
      <c r="F19" t="s">
        <v>12</v>
      </c>
      <c r="G19" t="s">
        <v>13</v>
      </c>
      <c r="H19" t="s">
        <v>19</v>
      </c>
    </row>
    <row r="20" spans="1:8" x14ac:dyDescent="0.45">
      <c r="A20" t="s">
        <v>81</v>
      </c>
      <c r="B20" t="s">
        <v>82</v>
      </c>
      <c r="C20" t="s">
        <v>83</v>
      </c>
      <c r="D20">
        <v>121003</v>
      </c>
      <c r="E20" t="s">
        <v>84</v>
      </c>
      <c r="F20" t="s">
        <v>85</v>
      </c>
      <c r="G20" t="s">
        <v>86</v>
      </c>
      <c r="H20" t="s">
        <v>87</v>
      </c>
    </row>
    <row r="21" spans="1:8" x14ac:dyDescent="0.45">
      <c r="A21" t="s">
        <v>88</v>
      </c>
      <c r="B21" t="s">
        <v>89</v>
      </c>
      <c r="C21" t="s">
        <v>55</v>
      </c>
      <c r="D21">
        <v>121003</v>
      </c>
      <c r="E21" t="s">
        <v>90</v>
      </c>
      <c r="F21" t="s">
        <v>28</v>
      </c>
      <c r="G21" t="s">
        <v>13</v>
      </c>
      <c r="H21" t="s">
        <v>29</v>
      </c>
    </row>
    <row r="22" spans="1:8" x14ac:dyDescent="0.45">
      <c r="A22" t="s">
        <v>91</v>
      </c>
      <c r="B22" t="s">
        <v>92</v>
      </c>
      <c r="C22" t="s">
        <v>93</v>
      </c>
      <c r="D22">
        <v>121003</v>
      </c>
      <c r="E22" t="s">
        <v>94</v>
      </c>
      <c r="F22" t="s">
        <v>12</v>
      </c>
      <c r="G22" t="s">
        <v>13</v>
      </c>
      <c r="H22" t="s">
        <v>19</v>
      </c>
    </row>
    <row r="23" spans="1:8" x14ac:dyDescent="0.45">
      <c r="A23" t="s">
        <v>95</v>
      </c>
      <c r="B23" t="s">
        <v>96</v>
      </c>
      <c r="C23" t="s">
        <v>97</v>
      </c>
      <c r="D23">
        <v>121003</v>
      </c>
      <c r="E23" t="s">
        <v>98</v>
      </c>
      <c r="F23" t="s">
        <v>28</v>
      </c>
      <c r="G23" t="s">
        <v>13</v>
      </c>
      <c r="H23" t="s">
        <v>45</v>
      </c>
    </row>
    <row r="24" spans="1:8" x14ac:dyDescent="0.45">
      <c r="A24" t="s">
        <v>99</v>
      </c>
      <c r="B24" t="s">
        <v>100</v>
      </c>
      <c r="C24" t="s">
        <v>101</v>
      </c>
      <c r="D24">
        <v>121003</v>
      </c>
      <c r="E24" t="s">
        <v>102</v>
      </c>
      <c r="F24" t="s">
        <v>12</v>
      </c>
      <c r="G24" t="s">
        <v>86</v>
      </c>
      <c r="H24" t="s">
        <v>103</v>
      </c>
    </row>
    <row r="25" spans="1:8" x14ac:dyDescent="0.45">
      <c r="A25" t="s">
        <v>104</v>
      </c>
      <c r="B25" t="s">
        <v>105</v>
      </c>
      <c r="C25" t="s">
        <v>106</v>
      </c>
      <c r="D25">
        <v>121003</v>
      </c>
      <c r="E25" t="s">
        <v>107</v>
      </c>
      <c r="F25" t="s">
        <v>28</v>
      </c>
      <c r="G25" t="s">
        <v>86</v>
      </c>
      <c r="H25" t="s">
        <v>108</v>
      </c>
    </row>
    <row r="26" spans="1:8" x14ac:dyDescent="0.45">
      <c r="A26" t="s">
        <v>109</v>
      </c>
      <c r="B26" t="s">
        <v>110</v>
      </c>
      <c r="C26" t="s">
        <v>111</v>
      </c>
      <c r="D26">
        <v>121003</v>
      </c>
      <c r="E26" t="s">
        <v>112</v>
      </c>
      <c r="F26" t="s">
        <v>12</v>
      </c>
      <c r="G26" t="s">
        <v>86</v>
      </c>
      <c r="H26" t="s">
        <v>103</v>
      </c>
    </row>
    <row r="27" spans="1:8" x14ac:dyDescent="0.45">
      <c r="A27" t="s">
        <v>113</v>
      </c>
      <c r="B27" t="s">
        <v>114</v>
      </c>
      <c r="C27" t="s">
        <v>101</v>
      </c>
      <c r="D27">
        <v>121003</v>
      </c>
      <c r="E27" t="s">
        <v>115</v>
      </c>
      <c r="F27" t="s">
        <v>12</v>
      </c>
      <c r="G27" t="s">
        <v>86</v>
      </c>
      <c r="H27" t="s">
        <v>103</v>
      </c>
    </row>
    <row r="28" spans="1:8" x14ac:dyDescent="0.45">
      <c r="A28" t="s">
        <v>116</v>
      </c>
      <c r="B28" t="s">
        <v>117</v>
      </c>
      <c r="C28" t="s">
        <v>118</v>
      </c>
      <c r="D28">
        <v>121003</v>
      </c>
      <c r="E28" t="s">
        <v>119</v>
      </c>
      <c r="F28" t="s">
        <v>85</v>
      </c>
      <c r="G28" t="s">
        <v>86</v>
      </c>
      <c r="H28" t="s">
        <v>120</v>
      </c>
    </row>
    <row r="29" spans="1:8" x14ac:dyDescent="0.45">
      <c r="A29" t="s">
        <v>121</v>
      </c>
      <c r="B29" t="s">
        <v>122</v>
      </c>
      <c r="C29" t="s">
        <v>97</v>
      </c>
      <c r="D29">
        <v>121003</v>
      </c>
      <c r="E29" t="s">
        <v>123</v>
      </c>
      <c r="F29" t="s">
        <v>12</v>
      </c>
      <c r="G29" t="s">
        <v>86</v>
      </c>
      <c r="H29" t="s">
        <v>124</v>
      </c>
    </row>
    <row r="30" spans="1:8" x14ac:dyDescent="0.45">
      <c r="A30" t="s">
        <v>125</v>
      </c>
      <c r="B30" t="s">
        <v>126</v>
      </c>
      <c r="C30" t="s">
        <v>10</v>
      </c>
      <c r="D30">
        <v>121003</v>
      </c>
      <c r="E30" t="s">
        <v>127</v>
      </c>
      <c r="F30" t="s">
        <v>28</v>
      </c>
      <c r="G30" t="s">
        <v>86</v>
      </c>
      <c r="H30" t="s">
        <v>128</v>
      </c>
    </row>
    <row r="31" spans="1:8" x14ac:dyDescent="0.45">
      <c r="A31" t="s">
        <v>129</v>
      </c>
      <c r="B31" t="s">
        <v>130</v>
      </c>
      <c r="C31" t="s">
        <v>101</v>
      </c>
      <c r="D31">
        <v>121003</v>
      </c>
      <c r="E31" t="s">
        <v>131</v>
      </c>
      <c r="F31" t="s">
        <v>12</v>
      </c>
      <c r="G31" t="s">
        <v>86</v>
      </c>
      <c r="H31" t="s">
        <v>103</v>
      </c>
    </row>
    <row r="32" spans="1:8" x14ac:dyDescent="0.45">
      <c r="A32" t="s">
        <v>132</v>
      </c>
      <c r="B32" t="s">
        <v>133</v>
      </c>
      <c r="C32" t="s">
        <v>134</v>
      </c>
      <c r="D32">
        <v>121003</v>
      </c>
      <c r="E32" t="s">
        <v>135</v>
      </c>
      <c r="F32" t="s">
        <v>12</v>
      </c>
      <c r="G32" t="s">
        <v>86</v>
      </c>
      <c r="H32" t="s">
        <v>136</v>
      </c>
    </row>
    <row r="33" spans="1:8" x14ac:dyDescent="0.45">
      <c r="A33" t="s">
        <v>137</v>
      </c>
      <c r="B33" t="s">
        <v>138</v>
      </c>
      <c r="C33" t="s">
        <v>139</v>
      </c>
      <c r="D33">
        <v>121003</v>
      </c>
      <c r="E33" t="s">
        <v>140</v>
      </c>
      <c r="F33" t="s">
        <v>12</v>
      </c>
      <c r="G33" t="s">
        <v>86</v>
      </c>
      <c r="H33" t="s">
        <v>124</v>
      </c>
    </row>
    <row r="34" spans="1:8" x14ac:dyDescent="0.45">
      <c r="A34" t="s">
        <v>141</v>
      </c>
      <c r="B34" t="s">
        <v>142</v>
      </c>
      <c r="C34" t="s">
        <v>106</v>
      </c>
      <c r="D34">
        <v>121003</v>
      </c>
      <c r="E34" t="s">
        <v>143</v>
      </c>
      <c r="F34" t="s">
        <v>12</v>
      </c>
      <c r="G34" t="s">
        <v>86</v>
      </c>
      <c r="H34" t="s">
        <v>103</v>
      </c>
    </row>
    <row r="35" spans="1:8" x14ac:dyDescent="0.45">
      <c r="A35" t="s">
        <v>144</v>
      </c>
      <c r="B35" t="s">
        <v>145</v>
      </c>
      <c r="C35" t="s">
        <v>146</v>
      </c>
      <c r="D35">
        <v>121003</v>
      </c>
      <c r="E35" t="s">
        <v>147</v>
      </c>
      <c r="F35" t="s">
        <v>28</v>
      </c>
      <c r="G35" t="s">
        <v>13</v>
      </c>
      <c r="H35" t="s">
        <v>148</v>
      </c>
    </row>
    <row r="36" spans="1:8" x14ac:dyDescent="0.45">
      <c r="A36" t="s">
        <v>149</v>
      </c>
      <c r="B36" t="s">
        <v>150</v>
      </c>
      <c r="C36" t="s">
        <v>151</v>
      </c>
      <c r="D36">
        <v>121003</v>
      </c>
      <c r="E36" t="s">
        <v>152</v>
      </c>
      <c r="F36" t="s">
        <v>12</v>
      </c>
      <c r="G36" t="s">
        <v>13</v>
      </c>
      <c r="H36" t="s">
        <v>19</v>
      </c>
    </row>
    <row r="37" spans="1:8" x14ac:dyDescent="0.45">
      <c r="A37" t="s">
        <v>153</v>
      </c>
      <c r="B37" t="s">
        <v>154</v>
      </c>
      <c r="C37" t="s">
        <v>155</v>
      </c>
      <c r="D37">
        <v>121003</v>
      </c>
      <c r="E37" t="s">
        <v>156</v>
      </c>
      <c r="F37" t="s">
        <v>12</v>
      </c>
      <c r="G37" t="s">
        <v>13</v>
      </c>
      <c r="H37" t="s">
        <v>19</v>
      </c>
    </row>
    <row r="38" spans="1:8" x14ac:dyDescent="0.45">
      <c r="A38" t="s">
        <v>157</v>
      </c>
      <c r="B38" t="s">
        <v>158</v>
      </c>
      <c r="C38" t="s">
        <v>159</v>
      </c>
      <c r="D38">
        <v>121003</v>
      </c>
      <c r="E38" t="s">
        <v>160</v>
      </c>
      <c r="F38" t="s">
        <v>28</v>
      </c>
      <c r="G38" t="s">
        <v>13</v>
      </c>
      <c r="H38" t="s">
        <v>29</v>
      </c>
    </row>
    <row r="39" spans="1:8" x14ac:dyDescent="0.45">
      <c r="A39" t="s">
        <v>161</v>
      </c>
      <c r="B39" t="s">
        <v>162</v>
      </c>
      <c r="C39" t="s">
        <v>163</v>
      </c>
      <c r="D39">
        <v>121003</v>
      </c>
      <c r="E39" t="s">
        <v>164</v>
      </c>
      <c r="F39" t="s">
        <v>12</v>
      </c>
      <c r="G39" t="s">
        <v>13</v>
      </c>
      <c r="H39" t="s">
        <v>14</v>
      </c>
    </row>
    <row r="40" spans="1:8" x14ac:dyDescent="0.45">
      <c r="A40" t="s">
        <v>165</v>
      </c>
      <c r="B40" t="s">
        <v>166</v>
      </c>
      <c r="C40" t="s">
        <v>101</v>
      </c>
      <c r="D40">
        <v>121003</v>
      </c>
      <c r="E40" t="s">
        <v>167</v>
      </c>
      <c r="F40" t="s">
        <v>12</v>
      </c>
      <c r="G40" t="s">
        <v>13</v>
      </c>
      <c r="H40" t="s">
        <v>19</v>
      </c>
    </row>
    <row r="41" spans="1:8" x14ac:dyDescent="0.45">
      <c r="A41" t="s">
        <v>168</v>
      </c>
      <c r="B41" t="s">
        <v>169</v>
      </c>
      <c r="C41" t="s">
        <v>170</v>
      </c>
      <c r="D41">
        <v>121003</v>
      </c>
      <c r="E41" t="s">
        <v>171</v>
      </c>
      <c r="F41" t="s">
        <v>12</v>
      </c>
      <c r="G41" t="s">
        <v>13</v>
      </c>
      <c r="H41" t="s">
        <v>19</v>
      </c>
    </row>
    <row r="42" spans="1:8" x14ac:dyDescent="0.45">
      <c r="A42" t="s">
        <v>172</v>
      </c>
      <c r="B42" t="s">
        <v>173</v>
      </c>
      <c r="C42" t="s">
        <v>151</v>
      </c>
      <c r="D42">
        <v>121003</v>
      </c>
      <c r="E42" t="s">
        <v>174</v>
      </c>
      <c r="F42" t="s">
        <v>12</v>
      </c>
      <c r="G42" t="s">
        <v>13</v>
      </c>
      <c r="H42" t="s">
        <v>19</v>
      </c>
    </row>
    <row r="43" spans="1:8" x14ac:dyDescent="0.45">
      <c r="A43" t="s">
        <v>175</v>
      </c>
      <c r="B43" t="s">
        <v>176</v>
      </c>
      <c r="C43" t="s">
        <v>17</v>
      </c>
      <c r="D43">
        <v>121003</v>
      </c>
      <c r="E43" t="s">
        <v>177</v>
      </c>
      <c r="F43" t="s">
        <v>28</v>
      </c>
      <c r="G43" t="s">
        <v>13</v>
      </c>
      <c r="H43" t="s">
        <v>29</v>
      </c>
    </row>
    <row r="44" spans="1:8" x14ac:dyDescent="0.45">
      <c r="A44" t="s">
        <v>178</v>
      </c>
      <c r="B44" t="s">
        <v>179</v>
      </c>
      <c r="C44" t="s">
        <v>180</v>
      </c>
      <c r="D44">
        <v>121003</v>
      </c>
      <c r="E44" t="s">
        <v>181</v>
      </c>
      <c r="F44" t="s">
        <v>12</v>
      </c>
      <c r="G44" t="s">
        <v>13</v>
      </c>
      <c r="H44" t="s">
        <v>14</v>
      </c>
    </row>
    <row r="45" spans="1:8" x14ac:dyDescent="0.45">
      <c r="A45" t="s">
        <v>182</v>
      </c>
      <c r="B45" t="s">
        <v>183</v>
      </c>
      <c r="C45" t="s">
        <v>151</v>
      </c>
      <c r="D45">
        <v>121003</v>
      </c>
      <c r="E45" t="s">
        <v>184</v>
      </c>
      <c r="F45" t="s">
        <v>28</v>
      </c>
      <c r="G45" t="s">
        <v>13</v>
      </c>
      <c r="H45" t="s">
        <v>29</v>
      </c>
    </row>
    <row r="46" spans="1:8" x14ac:dyDescent="0.45">
      <c r="A46" t="s">
        <v>185</v>
      </c>
      <c r="B46" t="s">
        <v>186</v>
      </c>
      <c r="C46" t="s">
        <v>63</v>
      </c>
      <c r="D46">
        <v>121003</v>
      </c>
      <c r="E46" t="s">
        <v>187</v>
      </c>
      <c r="F46" t="s">
        <v>28</v>
      </c>
      <c r="G46" t="s">
        <v>13</v>
      </c>
      <c r="H46" t="s">
        <v>45</v>
      </c>
    </row>
    <row r="47" spans="1:8" x14ac:dyDescent="0.45">
      <c r="A47" t="s">
        <v>188</v>
      </c>
      <c r="B47" t="s">
        <v>189</v>
      </c>
      <c r="C47" t="s">
        <v>170</v>
      </c>
      <c r="D47">
        <v>121003</v>
      </c>
      <c r="E47" t="s">
        <v>190</v>
      </c>
      <c r="F47" t="s">
        <v>12</v>
      </c>
      <c r="G47" t="s">
        <v>13</v>
      </c>
      <c r="H47" t="s">
        <v>19</v>
      </c>
    </row>
    <row r="48" spans="1:8" x14ac:dyDescent="0.45">
      <c r="A48" t="s">
        <v>191</v>
      </c>
      <c r="B48" t="s">
        <v>192</v>
      </c>
      <c r="C48" t="s">
        <v>139</v>
      </c>
      <c r="D48">
        <v>121003</v>
      </c>
      <c r="E48" t="s">
        <v>193</v>
      </c>
      <c r="F48" t="s">
        <v>12</v>
      </c>
      <c r="G48" t="s">
        <v>13</v>
      </c>
      <c r="H48" t="s">
        <v>14</v>
      </c>
    </row>
    <row r="49" spans="1:8" x14ac:dyDescent="0.45">
      <c r="A49" t="s">
        <v>194</v>
      </c>
      <c r="B49" t="s">
        <v>195</v>
      </c>
      <c r="C49" t="s">
        <v>170</v>
      </c>
      <c r="D49">
        <v>121003</v>
      </c>
      <c r="E49" t="s">
        <v>196</v>
      </c>
      <c r="F49" t="s">
        <v>12</v>
      </c>
      <c r="G49" t="s">
        <v>13</v>
      </c>
      <c r="H49" t="s">
        <v>19</v>
      </c>
    </row>
    <row r="50" spans="1:8" x14ac:dyDescent="0.45">
      <c r="A50" t="s">
        <v>197</v>
      </c>
      <c r="B50" t="s">
        <v>198</v>
      </c>
      <c r="C50" t="s">
        <v>151</v>
      </c>
      <c r="D50">
        <v>121003</v>
      </c>
      <c r="E50" t="s">
        <v>199</v>
      </c>
      <c r="F50" t="s">
        <v>12</v>
      </c>
      <c r="G50" t="s">
        <v>13</v>
      </c>
      <c r="H50" t="s">
        <v>19</v>
      </c>
    </row>
    <row r="51" spans="1:8" x14ac:dyDescent="0.45">
      <c r="A51" t="s">
        <v>200</v>
      </c>
      <c r="B51" t="s">
        <v>201</v>
      </c>
      <c r="C51" t="s">
        <v>202</v>
      </c>
      <c r="D51">
        <v>121003</v>
      </c>
      <c r="E51" t="s">
        <v>203</v>
      </c>
      <c r="F51" t="s">
        <v>28</v>
      </c>
      <c r="G51" t="s">
        <v>13</v>
      </c>
      <c r="H51" t="s">
        <v>148</v>
      </c>
    </row>
    <row r="52" spans="1:8" x14ac:dyDescent="0.45">
      <c r="A52" t="s">
        <v>204</v>
      </c>
      <c r="B52" t="s">
        <v>205</v>
      </c>
      <c r="C52" t="s">
        <v>206</v>
      </c>
      <c r="D52">
        <v>121003</v>
      </c>
      <c r="E52" t="s">
        <v>184</v>
      </c>
      <c r="F52" t="s">
        <v>28</v>
      </c>
      <c r="G52" t="s">
        <v>13</v>
      </c>
      <c r="H52" t="s">
        <v>45</v>
      </c>
    </row>
    <row r="53" spans="1:8" x14ac:dyDescent="0.45">
      <c r="A53" t="s">
        <v>207</v>
      </c>
      <c r="B53" t="s">
        <v>208</v>
      </c>
      <c r="C53" t="s">
        <v>151</v>
      </c>
      <c r="D53">
        <v>121003</v>
      </c>
      <c r="E53" t="s">
        <v>209</v>
      </c>
      <c r="F53" t="s">
        <v>12</v>
      </c>
      <c r="G53" t="s">
        <v>13</v>
      </c>
      <c r="H53" t="s">
        <v>19</v>
      </c>
    </row>
    <row r="54" spans="1:8" x14ac:dyDescent="0.45">
      <c r="A54" t="s">
        <v>210</v>
      </c>
      <c r="B54" t="s">
        <v>211</v>
      </c>
      <c r="C54" t="s">
        <v>212</v>
      </c>
      <c r="D54">
        <v>121003</v>
      </c>
      <c r="E54" t="s">
        <v>213</v>
      </c>
      <c r="F54" t="s">
        <v>12</v>
      </c>
      <c r="G54" t="s">
        <v>13</v>
      </c>
      <c r="H54" t="s">
        <v>214</v>
      </c>
    </row>
    <row r="55" spans="1:8" x14ac:dyDescent="0.45">
      <c r="A55" t="s">
        <v>215</v>
      </c>
      <c r="B55" t="s">
        <v>216</v>
      </c>
      <c r="C55" t="s">
        <v>217</v>
      </c>
      <c r="D55">
        <v>121003</v>
      </c>
      <c r="E55" t="s">
        <v>218</v>
      </c>
      <c r="F55" t="s">
        <v>12</v>
      </c>
      <c r="G55" t="s">
        <v>13</v>
      </c>
      <c r="H55" t="s">
        <v>19</v>
      </c>
    </row>
    <row r="56" spans="1:8" x14ac:dyDescent="0.45">
      <c r="A56" t="s">
        <v>219</v>
      </c>
      <c r="B56" t="s">
        <v>220</v>
      </c>
      <c r="C56" t="s">
        <v>221</v>
      </c>
      <c r="D56">
        <v>121003</v>
      </c>
      <c r="E56" t="s">
        <v>222</v>
      </c>
      <c r="F56" t="s">
        <v>12</v>
      </c>
      <c r="G56" t="s">
        <v>13</v>
      </c>
      <c r="H56" t="s">
        <v>214</v>
      </c>
    </row>
    <row r="57" spans="1:8" x14ac:dyDescent="0.45">
      <c r="A57" t="s">
        <v>223</v>
      </c>
      <c r="B57" t="s">
        <v>224</v>
      </c>
      <c r="C57" t="s">
        <v>17</v>
      </c>
      <c r="D57">
        <v>121003</v>
      </c>
      <c r="E57" t="s">
        <v>225</v>
      </c>
      <c r="F57" t="s">
        <v>28</v>
      </c>
      <c r="G57" t="s">
        <v>13</v>
      </c>
      <c r="H57" t="s">
        <v>29</v>
      </c>
    </row>
    <row r="58" spans="1:8" x14ac:dyDescent="0.45">
      <c r="A58" t="s">
        <v>226</v>
      </c>
      <c r="B58" t="s">
        <v>227</v>
      </c>
      <c r="C58" t="s">
        <v>228</v>
      </c>
      <c r="D58">
        <v>121003</v>
      </c>
      <c r="E58" t="s">
        <v>229</v>
      </c>
      <c r="F58" t="s">
        <v>28</v>
      </c>
      <c r="G58" t="s">
        <v>13</v>
      </c>
      <c r="H58" t="s">
        <v>45</v>
      </c>
    </row>
    <row r="59" spans="1:8" x14ac:dyDescent="0.45">
      <c r="A59" t="s">
        <v>230</v>
      </c>
      <c r="B59" t="s">
        <v>231</v>
      </c>
      <c r="C59" t="s">
        <v>228</v>
      </c>
      <c r="D59">
        <v>121003</v>
      </c>
      <c r="E59" t="s">
        <v>232</v>
      </c>
      <c r="F59" t="s">
        <v>12</v>
      </c>
      <c r="G59" t="s">
        <v>13</v>
      </c>
      <c r="H59" t="s">
        <v>14</v>
      </c>
    </row>
    <row r="60" spans="1:8" x14ac:dyDescent="0.45">
      <c r="A60" t="s">
        <v>233</v>
      </c>
      <c r="B60" t="s">
        <v>234</v>
      </c>
      <c r="C60" t="s">
        <v>235</v>
      </c>
      <c r="D60">
        <v>121003</v>
      </c>
      <c r="E60" t="s">
        <v>236</v>
      </c>
      <c r="F60" t="s">
        <v>12</v>
      </c>
      <c r="G60" t="s">
        <v>13</v>
      </c>
      <c r="H60" t="s">
        <v>237</v>
      </c>
    </row>
    <row r="61" spans="1:8" x14ac:dyDescent="0.45">
      <c r="A61" t="s">
        <v>238</v>
      </c>
      <c r="B61" t="s">
        <v>239</v>
      </c>
      <c r="C61" t="s">
        <v>240</v>
      </c>
      <c r="D61">
        <v>121003</v>
      </c>
      <c r="E61" t="s">
        <v>241</v>
      </c>
      <c r="F61" t="s">
        <v>12</v>
      </c>
      <c r="G61" t="s">
        <v>13</v>
      </c>
      <c r="H61" t="s">
        <v>214</v>
      </c>
    </row>
    <row r="62" spans="1:8" x14ac:dyDescent="0.45">
      <c r="A62" t="s">
        <v>242</v>
      </c>
      <c r="B62" t="s">
        <v>243</v>
      </c>
      <c r="C62" t="s">
        <v>55</v>
      </c>
      <c r="D62">
        <v>121003</v>
      </c>
      <c r="E62" t="s">
        <v>244</v>
      </c>
      <c r="F62" t="s">
        <v>12</v>
      </c>
      <c r="G62" t="s">
        <v>13</v>
      </c>
      <c r="H62" t="s">
        <v>19</v>
      </c>
    </row>
    <row r="63" spans="1:8" x14ac:dyDescent="0.45">
      <c r="A63" t="s">
        <v>245</v>
      </c>
      <c r="B63" t="s">
        <v>246</v>
      </c>
      <c r="C63" t="s">
        <v>48</v>
      </c>
      <c r="D63">
        <v>121003</v>
      </c>
      <c r="E63" t="s">
        <v>247</v>
      </c>
      <c r="F63" t="s">
        <v>12</v>
      </c>
      <c r="G63" t="s">
        <v>13</v>
      </c>
      <c r="H63" t="s">
        <v>34</v>
      </c>
    </row>
    <row r="64" spans="1:8" x14ac:dyDescent="0.45">
      <c r="A64" t="s">
        <v>248</v>
      </c>
      <c r="B64" t="s">
        <v>249</v>
      </c>
      <c r="C64" t="s">
        <v>250</v>
      </c>
      <c r="D64">
        <v>121003</v>
      </c>
      <c r="E64" t="s">
        <v>251</v>
      </c>
      <c r="F64" t="s">
        <v>12</v>
      </c>
      <c r="G64" t="s">
        <v>13</v>
      </c>
      <c r="H64" t="s">
        <v>19</v>
      </c>
    </row>
    <row r="65" spans="1:8" x14ac:dyDescent="0.45">
      <c r="A65" t="s">
        <v>252</v>
      </c>
      <c r="B65" t="s">
        <v>253</v>
      </c>
      <c r="C65" t="s">
        <v>118</v>
      </c>
      <c r="D65">
        <v>121003</v>
      </c>
      <c r="E65" t="s">
        <v>254</v>
      </c>
      <c r="F65" t="s">
        <v>12</v>
      </c>
      <c r="G65" t="s">
        <v>13</v>
      </c>
      <c r="H65" t="s">
        <v>19</v>
      </c>
    </row>
    <row r="66" spans="1:8" x14ac:dyDescent="0.45">
      <c r="A66" t="s">
        <v>255</v>
      </c>
      <c r="B66" t="s">
        <v>256</v>
      </c>
      <c r="C66" t="s">
        <v>257</v>
      </c>
      <c r="D66">
        <v>121003</v>
      </c>
      <c r="E66" t="s">
        <v>258</v>
      </c>
      <c r="F66" t="s">
        <v>12</v>
      </c>
      <c r="G66" t="s">
        <v>13</v>
      </c>
      <c r="H66" t="s">
        <v>19</v>
      </c>
    </row>
    <row r="67" spans="1:8" x14ac:dyDescent="0.45">
      <c r="A67" t="s">
        <v>259</v>
      </c>
      <c r="B67" t="s">
        <v>260</v>
      </c>
      <c r="C67" t="s">
        <v>257</v>
      </c>
      <c r="D67">
        <v>121003</v>
      </c>
      <c r="E67" t="s">
        <v>261</v>
      </c>
      <c r="F67" t="s">
        <v>12</v>
      </c>
      <c r="G67" t="s">
        <v>13</v>
      </c>
      <c r="H67" t="s">
        <v>19</v>
      </c>
    </row>
    <row r="68" spans="1:8" x14ac:dyDescent="0.45">
      <c r="A68" t="s">
        <v>262</v>
      </c>
      <c r="B68" t="s">
        <v>263</v>
      </c>
      <c r="C68" t="s">
        <v>106</v>
      </c>
      <c r="D68">
        <v>121003</v>
      </c>
      <c r="E68" t="s">
        <v>264</v>
      </c>
      <c r="F68" t="s">
        <v>12</v>
      </c>
      <c r="G68" t="s">
        <v>13</v>
      </c>
      <c r="H68" t="s">
        <v>19</v>
      </c>
    </row>
    <row r="69" spans="1:8" x14ac:dyDescent="0.45">
      <c r="A69" t="s">
        <v>265</v>
      </c>
      <c r="B69" t="s">
        <v>266</v>
      </c>
      <c r="C69" t="s">
        <v>267</v>
      </c>
      <c r="D69">
        <v>121003</v>
      </c>
      <c r="E69" t="s">
        <v>268</v>
      </c>
      <c r="F69" t="s">
        <v>12</v>
      </c>
      <c r="G69" t="s">
        <v>13</v>
      </c>
      <c r="H69" t="s">
        <v>19</v>
      </c>
    </row>
    <row r="70" spans="1:8" x14ac:dyDescent="0.45">
      <c r="A70" t="s">
        <v>269</v>
      </c>
      <c r="B70" t="s">
        <v>270</v>
      </c>
      <c r="C70" t="s">
        <v>118</v>
      </c>
      <c r="D70">
        <v>121003</v>
      </c>
      <c r="E70" t="s">
        <v>271</v>
      </c>
      <c r="F70" t="s">
        <v>12</v>
      </c>
      <c r="G70" t="s">
        <v>13</v>
      </c>
      <c r="H70" t="s">
        <v>19</v>
      </c>
    </row>
    <row r="71" spans="1:8" x14ac:dyDescent="0.45">
      <c r="A71" t="s">
        <v>272</v>
      </c>
      <c r="B71" t="s">
        <v>273</v>
      </c>
      <c r="C71" t="s">
        <v>48</v>
      </c>
      <c r="D71">
        <v>121003</v>
      </c>
      <c r="E71" t="s">
        <v>274</v>
      </c>
      <c r="F71" t="s">
        <v>12</v>
      </c>
      <c r="G71" t="s">
        <v>86</v>
      </c>
      <c r="H71" t="s">
        <v>275</v>
      </c>
    </row>
    <row r="72" spans="1:8" x14ac:dyDescent="0.45">
      <c r="A72" t="s">
        <v>276</v>
      </c>
      <c r="B72" t="s">
        <v>277</v>
      </c>
      <c r="C72" t="s">
        <v>278</v>
      </c>
      <c r="D72">
        <v>121003</v>
      </c>
      <c r="E72" t="s">
        <v>279</v>
      </c>
      <c r="F72" t="s">
        <v>12</v>
      </c>
      <c r="G72" t="s">
        <v>13</v>
      </c>
      <c r="H72" t="s">
        <v>237</v>
      </c>
    </row>
    <row r="73" spans="1:8" x14ac:dyDescent="0.45">
      <c r="A73" t="s">
        <v>280</v>
      </c>
      <c r="B73" t="s">
        <v>281</v>
      </c>
      <c r="C73" t="s">
        <v>17</v>
      </c>
      <c r="D73">
        <v>121003</v>
      </c>
      <c r="E73" t="s">
        <v>282</v>
      </c>
      <c r="F73" t="s">
        <v>12</v>
      </c>
      <c r="G73" t="s">
        <v>13</v>
      </c>
      <c r="H73" t="s">
        <v>19</v>
      </c>
    </row>
    <row r="74" spans="1:8" x14ac:dyDescent="0.45">
      <c r="A74" t="s">
        <v>283</v>
      </c>
      <c r="B74" t="s">
        <v>284</v>
      </c>
      <c r="C74" t="s">
        <v>285</v>
      </c>
      <c r="D74">
        <v>121003</v>
      </c>
      <c r="E74" t="s">
        <v>271</v>
      </c>
      <c r="F74" t="s">
        <v>12</v>
      </c>
      <c r="G74" t="s">
        <v>13</v>
      </c>
      <c r="H74" t="s">
        <v>19</v>
      </c>
    </row>
    <row r="75" spans="1:8" x14ac:dyDescent="0.45">
      <c r="A75" t="s">
        <v>286</v>
      </c>
      <c r="B75" t="s">
        <v>287</v>
      </c>
      <c r="C75" t="s">
        <v>32</v>
      </c>
      <c r="D75">
        <v>121003</v>
      </c>
      <c r="E75" t="s">
        <v>288</v>
      </c>
      <c r="F75" t="s">
        <v>12</v>
      </c>
      <c r="G75" t="s">
        <v>86</v>
      </c>
      <c r="H75" t="s">
        <v>275</v>
      </c>
    </row>
    <row r="76" spans="1:8" x14ac:dyDescent="0.45">
      <c r="A76" t="s">
        <v>289</v>
      </c>
      <c r="B76" t="s">
        <v>290</v>
      </c>
      <c r="C76" t="s">
        <v>83</v>
      </c>
      <c r="D76">
        <v>121003</v>
      </c>
      <c r="E76" t="s">
        <v>291</v>
      </c>
      <c r="F76" t="s">
        <v>12</v>
      </c>
      <c r="G76" t="s">
        <v>13</v>
      </c>
      <c r="H76" t="s">
        <v>34</v>
      </c>
    </row>
    <row r="77" spans="1:8" x14ac:dyDescent="0.45">
      <c r="A77" t="s">
        <v>292</v>
      </c>
      <c r="B77" t="s">
        <v>293</v>
      </c>
      <c r="C77" t="s">
        <v>101</v>
      </c>
      <c r="D77">
        <v>121003</v>
      </c>
      <c r="E77" t="s">
        <v>291</v>
      </c>
      <c r="F77" t="s">
        <v>12</v>
      </c>
      <c r="G77" t="s">
        <v>13</v>
      </c>
      <c r="H77" t="s">
        <v>19</v>
      </c>
    </row>
    <row r="78" spans="1:8" x14ac:dyDescent="0.45">
      <c r="A78" t="s">
        <v>294</v>
      </c>
      <c r="B78" t="s">
        <v>295</v>
      </c>
      <c r="C78" t="s">
        <v>48</v>
      </c>
      <c r="D78">
        <v>121003</v>
      </c>
      <c r="E78" t="s">
        <v>296</v>
      </c>
      <c r="F78" t="s">
        <v>12</v>
      </c>
      <c r="G78" t="s">
        <v>13</v>
      </c>
      <c r="H78" t="s">
        <v>34</v>
      </c>
    </row>
    <row r="79" spans="1:8" x14ac:dyDescent="0.45">
      <c r="A79" t="s">
        <v>297</v>
      </c>
      <c r="B79" t="s">
        <v>298</v>
      </c>
      <c r="C79" t="s">
        <v>299</v>
      </c>
      <c r="D79">
        <v>121003</v>
      </c>
      <c r="E79" t="s">
        <v>282</v>
      </c>
      <c r="F79" t="s">
        <v>12</v>
      </c>
      <c r="G79" t="s">
        <v>13</v>
      </c>
      <c r="H79" t="s">
        <v>24</v>
      </c>
    </row>
    <row r="80" spans="1:8" x14ac:dyDescent="0.45">
      <c r="A80" t="s">
        <v>300</v>
      </c>
      <c r="B80" t="s">
        <v>301</v>
      </c>
      <c r="C80" t="s">
        <v>83</v>
      </c>
      <c r="D80">
        <v>121003</v>
      </c>
      <c r="E80" t="s">
        <v>282</v>
      </c>
      <c r="F80" t="s">
        <v>12</v>
      </c>
      <c r="G80" t="s">
        <v>13</v>
      </c>
      <c r="H80" t="s">
        <v>34</v>
      </c>
    </row>
    <row r="81" spans="1:8" x14ac:dyDescent="0.45">
      <c r="A81" t="s">
        <v>302</v>
      </c>
      <c r="B81" t="s">
        <v>303</v>
      </c>
      <c r="C81" t="s">
        <v>83</v>
      </c>
      <c r="D81">
        <v>121003</v>
      </c>
      <c r="E81" t="s">
        <v>304</v>
      </c>
      <c r="F81" t="s">
        <v>12</v>
      </c>
      <c r="G81" t="s">
        <v>13</v>
      </c>
      <c r="H81" t="s">
        <v>34</v>
      </c>
    </row>
    <row r="82" spans="1:8" x14ac:dyDescent="0.45">
      <c r="A82" t="s">
        <v>305</v>
      </c>
      <c r="B82" t="s">
        <v>306</v>
      </c>
      <c r="C82" t="s">
        <v>32</v>
      </c>
      <c r="D82">
        <v>121003</v>
      </c>
      <c r="E82" t="s">
        <v>307</v>
      </c>
      <c r="F82" t="s">
        <v>12</v>
      </c>
      <c r="G82" t="s">
        <v>13</v>
      </c>
      <c r="H82" t="s">
        <v>34</v>
      </c>
    </row>
    <row r="83" spans="1:8" x14ac:dyDescent="0.45">
      <c r="A83" t="s">
        <v>308</v>
      </c>
      <c r="B83" t="s">
        <v>309</v>
      </c>
      <c r="C83" t="s">
        <v>118</v>
      </c>
      <c r="D83">
        <v>121003</v>
      </c>
      <c r="E83" t="s">
        <v>310</v>
      </c>
      <c r="F83" t="s">
        <v>12</v>
      </c>
      <c r="G83" t="s">
        <v>13</v>
      </c>
      <c r="H83" t="s">
        <v>19</v>
      </c>
    </row>
    <row r="84" spans="1:8" x14ac:dyDescent="0.45">
      <c r="A84" t="s">
        <v>311</v>
      </c>
      <c r="B84" t="s">
        <v>312</v>
      </c>
      <c r="C84" t="s">
        <v>83</v>
      </c>
      <c r="D84">
        <v>121003</v>
      </c>
      <c r="E84" t="s">
        <v>282</v>
      </c>
      <c r="F84" t="s">
        <v>12</v>
      </c>
      <c r="G84" t="s">
        <v>13</v>
      </c>
      <c r="H84" t="s">
        <v>34</v>
      </c>
    </row>
    <row r="85" spans="1:8" x14ac:dyDescent="0.45">
      <c r="A85" t="s">
        <v>313</v>
      </c>
      <c r="B85" t="s">
        <v>314</v>
      </c>
      <c r="C85" t="s">
        <v>48</v>
      </c>
      <c r="D85">
        <v>121003</v>
      </c>
      <c r="E85" t="s">
        <v>315</v>
      </c>
      <c r="F85" t="s">
        <v>12</v>
      </c>
      <c r="G85" t="s">
        <v>13</v>
      </c>
      <c r="H85" t="s">
        <v>34</v>
      </c>
    </row>
    <row r="86" spans="1:8" x14ac:dyDescent="0.45">
      <c r="A86" t="s">
        <v>316</v>
      </c>
      <c r="B86" t="s">
        <v>317</v>
      </c>
      <c r="C86" t="s">
        <v>106</v>
      </c>
      <c r="D86">
        <v>121003</v>
      </c>
      <c r="E86" t="s">
        <v>318</v>
      </c>
      <c r="F86" t="s">
        <v>12</v>
      </c>
      <c r="G86" t="s">
        <v>13</v>
      </c>
      <c r="H86" t="s">
        <v>19</v>
      </c>
    </row>
    <row r="87" spans="1:8" x14ac:dyDescent="0.45">
      <c r="A87" t="s">
        <v>319</v>
      </c>
      <c r="B87" t="s">
        <v>320</v>
      </c>
      <c r="C87" t="s">
        <v>321</v>
      </c>
      <c r="D87">
        <v>121003</v>
      </c>
      <c r="E87" t="s">
        <v>322</v>
      </c>
      <c r="F87" t="s">
        <v>12</v>
      </c>
      <c r="G87" t="s">
        <v>13</v>
      </c>
      <c r="H87" t="s">
        <v>14</v>
      </c>
    </row>
    <row r="88" spans="1:8" x14ac:dyDescent="0.45">
      <c r="A88" t="s">
        <v>323</v>
      </c>
      <c r="B88" t="s">
        <v>324</v>
      </c>
      <c r="C88" t="s">
        <v>32</v>
      </c>
      <c r="D88">
        <v>121003</v>
      </c>
      <c r="E88" t="s">
        <v>325</v>
      </c>
      <c r="F88" t="s">
        <v>12</v>
      </c>
      <c r="G88" t="s">
        <v>13</v>
      </c>
      <c r="H88" t="s">
        <v>34</v>
      </c>
    </row>
    <row r="89" spans="1:8" x14ac:dyDescent="0.45">
      <c r="A89" t="s">
        <v>326</v>
      </c>
      <c r="B89" t="s">
        <v>327</v>
      </c>
      <c r="C89" t="s">
        <v>118</v>
      </c>
      <c r="D89">
        <v>121003</v>
      </c>
      <c r="E89" t="s">
        <v>328</v>
      </c>
      <c r="F89" t="s">
        <v>28</v>
      </c>
      <c r="G89" t="s">
        <v>13</v>
      </c>
      <c r="H89" t="s">
        <v>29</v>
      </c>
    </row>
    <row r="90" spans="1:8" x14ac:dyDescent="0.45">
      <c r="A90" t="s">
        <v>329</v>
      </c>
      <c r="B90" t="s">
        <v>330</v>
      </c>
      <c r="C90" t="s">
        <v>331</v>
      </c>
      <c r="D90">
        <v>121003</v>
      </c>
      <c r="E90" t="s">
        <v>332</v>
      </c>
      <c r="F90" t="s">
        <v>28</v>
      </c>
      <c r="G90" t="s">
        <v>13</v>
      </c>
      <c r="H90" t="s">
        <v>77</v>
      </c>
    </row>
    <row r="91" spans="1:8" x14ac:dyDescent="0.45">
      <c r="A91" t="s">
        <v>333</v>
      </c>
      <c r="B91" t="s">
        <v>334</v>
      </c>
      <c r="C91" t="s">
        <v>134</v>
      </c>
      <c r="D91">
        <v>121003</v>
      </c>
      <c r="E91" t="s">
        <v>335</v>
      </c>
      <c r="F91" t="s">
        <v>28</v>
      </c>
      <c r="G91" t="s">
        <v>13</v>
      </c>
      <c r="H91" t="s">
        <v>336</v>
      </c>
    </row>
    <row r="92" spans="1:8" x14ac:dyDescent="0.45">
      <c r="A92" t="s">
        <v>337</v>
      </c>
      <c r="B92" t="s">
        <v>338</v>
      </c>
      <c r="C92" t="s">
        <v>155</v>
      </c>
      <c r="D92">
        <v>121003</v>
      </c>
      <c r="E92" t="s">
        <v>291</v>
      </c>
      <c r="F92" t="s">
        <v>12</v>
      </c>
      <c r="G92" t="s">
        <v>13</v>
      </c>
      <c r="H92" t="s">
        <v>19</v>
      </c>
    </row>
    <row r="93" spans="1:8" x14ac:dyDescent="0.45">
      <c r="A93" t="s">
        <v>339</v>
      </c>
      <c r="B93" t="s">
        <v>340</v>
      </c>
      <c r="C93" t="s">
        <v>341</v>
      </c>
      <c r="D93">
        <v>121003</v>
      </c>
      <c r="E93" t="s">
        <v>342</v>
      </c>
      <c r="F93" t="s">
        <v>12</v>
      </c>
      <c r="G93" t="s">
        <v>13</v>
      </c>
      <c r="H93" t="s">
        <v>14</v>
      </c>
    </row>
    <row r="94" spans="1:8" x14ac:dyDescent="0.45">
      <c r="A94" t="s">
        <v>343</v>
      </c>
      <c r="B94" t="s">
        <v>344</v>
      </c>
      <c r="C94" t="s">
        <v>267</v>
      </c>
      <c r="D94">
        <v>121003</v>
      </c>
      <c r="E94" t="s">
        <v>345</v>
      </c>
      <c r="F94" t="s">
        <v>12</v>
      </c>
      <c r="G94" t="s">
        <v>13</v>
      </c>
      <c r="H94" t="s">
        <v>19</v>
      </c>
    </row>
    <row r="95" spans="1:8" x14ac:dyDescent="0.45">
      <c r="A95" t="s">
        <v>346</v>
      </c>
      <c r="B95" t="s">
        <v>347</v>
      </c>
      <c r="C95" t="s">
        <v>170</v>
      </c>
      <c r="D95">
        <v>121003</v>
      </c>
      <c r="E95" t="s">
        <v>348</v>
      </c>
      <c r="F95" t="s">
        <v>12</v>
      </c>
      <c r="G95" t="s">
        <v>13</v>
      </c>
      <c r="H95" t="s">
        <v>19</v>
      </c>
    </row>
    <row r="96" spans="1:8" x14ac:dyDescent="0.45">
      <c r="A96" t="s">
        <v>349</v>
      </c>
      <c r="B96" t="s">
        <v>350</v>
      </c>
      <c r="C96" t="s">
        <v>151</v>
      </c>
      <c r="D96">
        <v>121003</v>
      </c>
      <c r="E96" t="s">
        <v>351</v>
      </c>
      <c r="F96" t="s">
        <v>12</v>
      </c>
      <c r="G96" t="s">
        <v>13</v>
      </c>
      <c r="H96" t="s">
        <v>19</v>
      </c>
    </row>
    <row r="97" spans="1:8" x14ac:dyDescent="0.45">
      <c r="A97" t="s">
        <v>352</v>
      </c>
      <c r="B97" t="s">
        <v>353</v>
      </c>
      <c r="C97" t="s">
        <v>354</v>
      </c>
      <c r="D97">
        <v>121003</v>
      </c>
      <c r="E97" t="s">
        <v>355</v>
      </c>
      <c r="F97" t="s">
        <v>12</v>
      </c>
      <c r="G97" t="s">
        <v>13</v>
      </c>
      <c r="H97" t="s">
        <v>24</v>
      </c>
    </row>
    <row r="98" spans="1:8" x14ac:dyDescent="0.45">
      <c r="A98" t="s">
        <v>356</v>
      </c>
      <c r="B98" t="s">
        <v>357</v>
      </c>
      <c r="C98" t="s">
        <v>151</v>
      </c>
      <c r="D98">
        <v>121003</v>
      </c>
      <c r="E98" t="s">
        <v>358</v>
      </c>
      <c r="F98" t="s">
        <v>12</v>
      </c>
      <c r="G98" t="s">
        <v>13</v>
      </c>
      <c r="H98" t="s">
        <v>19</v>
      </c>
    </row>
    <row r="99" spans="1:8" x14ac:dyDescent="0.45">
      <c r="A99" t="s">
        <v>359</v>
      </c>
      <c r="B99" t="s">
        <v>360</v>
      </c>
      <c r="C99" t="s">
        <v>361</v>
      </c>
      <c r="D99">
        <v>121003</v>
      </c>
      <c r="E99" t="s">
        <v>362</v>
      </c>
      <c r="F99" t="s">
        <v>12</v>
      </c>
      <c r="G99" t="s">
        <v>13</v>
      </c>
      <c r="H99" t="s">
        <v>19</v>
      </c>
    </row>
    <row r="100" spans="1:8" x14ac:dyDescent="0.45">
      <c r="A100" t="s">
        <v>363</v>
      </c>
      <c r="B100" t="s">
        <v>364</v>
      </c>
      <c r="C100" t="s">
        <v>365</v>
      </c>
      <c r="D100">
        <v>121003</v>
      </c>
      <c r="E100" t="s">
        <v>366</v>
      </c>
      <c r="F100" t="s">
        <v>12</v>
      </c>
      <c r="G100" t="s">
        <v>13</v>
      </c>
      <c r="H100" t="s">
        <v>367</v>
      </c>
    </row>
    <row r="101" spans="1:8" x14ac:dyDescent="0.45">
      <c r="A101" t="s">
        <v>368</v>
      </c>
      <c r="B101" t="s">
        <v>369</v>
      </c>
      <c r="C101" t="s">
        <v>370</v>
      </c>
      <c r="D101">
        <v>121003</v>
      </c>
      <c r="E101" t="s">
        <v>371</v>
      </c>
      <c r="F101" t="s">
        <v>12</v>
      </c>
      <c r="G101" t="s">
        <v>13</v>
      </c>
      <c r="H101" t="s">
        <v>19</v>
      </c>
    </row>
    <row r="102" spans="1:8" x14ac:dyDescent="0.45">
      <c r="A102" t="s">
        <v>372</v>
      </c>
      <c r="B102" t="s">
        <v>373</v>
      </c>
      <c r="C102" t="s">
        <v>374</v>
      </c>
      <c r="D102">
        <v>121003</v>
      </c>
      <c r="E102" t="s">
        <v>375</v>
      </c>
      <c r="F102" t="s">
        <v>12</v>
      </c>
      <c r="G102" t="s">
        <v>13</v>
      </c>
      <c r="H102" t="s">
        <v>14</v>
      </c>
    </row>
    <row r="103" spans="1:8" x14ac:dyDescent="0.45">
      <c r="A103" t="s">
        <v>376</v>
      </c>
      <c r="B103" t="s">
        <v>377</v>
      </c>
      <c r="C103" t="s">
        <v>101</v>
      </c>
      <c r="D103">
        <v>121003</v>
      </c>
      <c r="E103" t="s">
        <v>254</v>
      </c>
      <c r="F103" t="s">
        <v>12</v>
      </c>
      <c r="G103" t="s">
        <v>13</v>
      </c>
      <c r="H103" t="s">
        <v>19</v>
      </c>
    </row>
    <row r="104" spans="1:8" x14ac:dyDescent="0.45">
      <c r="A104" t="s">
        <v>378</v>
      </c>
      <c r="B104" t="s">
        <v>379</v>
      </c>
      <c r="C104" t="s">
        <v>59</v>
      </c>
      <c r="D104">
        <v>121003</v>
      </c>
      <c r="E104" t="s">
        <v>380</v>
      </c>
      <c r="F104" t="s">
        <v>28</v>
      </c>
      <c r="G104" t="s">
        <v>13</v>
      </c>
      <c r="H104" t="s">
        <v>29</v>
      </c>
    </row>
    <row r="105" spans="1:8" x14ac:dyDescent="0.45">
      <c r="A105" t="s">
        <v>381</v>
      </c>
      <c r="B105" t="s">
        <v>382</v>
      </c>
      <c r="C105" t="s">
        <v>59</v>
      </c>
      <c r="D105">
        <v>121003</v>
      </c>
      <c r="E105" t="s">
        <v>383</v>
      </c>
      <c r="F105" t="s">
        <v>12</v>
      </c>
      <c r="G105" t="s">
        <v>13</v>
      </c>
      <c r="H105" t="s">
        <v>19</v>
      </c>
    </row>
    <row r="106" spans="1:8" x14ac:dyDescent="0.45">
      <c r="A106" t="s">
        <v>384</v>
      </c>
      <c r="B106" t="s">
        <v>385</v>
      </c>
      <c r="C106" t="s">
        <v>386</v>
      </c>
      <c r="D106">
        <v>121003</v>
      </c>
      <c r="E106" t="s">
        <v>387</v>
      </c>
      <c r="F106" t="s">
        <v>12</v>
      </c>
      <c r="G106" t="s">
        <v>13</v>
      </c>
      <c r="H106" t="s">
        <v>214</v>
      </c>
    </row>
    <row r="107" spans="1:8" x14ac:dyDescent="0.45">
      <c r="A107" t="s">
        <v>388</v>
      </c>
      <c r="B107" t="s">
        <v>389</v>
      </c>
      <c r="C107" t="s">
        <v>390</v>
      </c>
      <c r="D107">
        <v>121003</v>
      </c>
      <c r="E107" t="s">
        <v>391</v>
      </c>
      <c r="F107" t="s">
        <v>12</v>
      </c>
      <c r="G107" t="s">
        <v>13</v>
      </c>
      <c r="H107" t="s">
        <v>24</v>
      </c>
    </row>
    <row r="108" spans="1:8" x14ac:dyDescent="0.45">
      <c r="A108" t="s">
        <v>392</v>
      </c>
      <c r="B108" t="s">
        <v>393</v>
      </c>
      <c r="C108" t="s">
        <v>217</v>
      </c>
      <c r="D108">
        <v>121003</v>
      </c>
      <c r="E108" t="s">
        <v>251</v>
      </c>
      <c r="F108" t="s">
        <v>12</v>
      </c>
      <c r="G108" t="s">
        <v>13</v>
      </c>
      <c r="H108" t="s">
        <v>19</v>
      </c>
    </row>
    <row r="109" spans="1:8" x14ac:dyDescent="0.45">
      <c r="A109" t="s">
        <v>394</v>
      </c>
      <c r="B109" t="s">
        <v>395</v>
      </c>
      <c r="C109" t="s">
        <v>59</v>
      </c>
      <c r="D109">
        <v>121003</v>
      </c>
      <c r="E109" t="s">
        <v>396</v>
      </c>
      <c r="F109" t="s">
        <v>12</v>
      </c>
      <c r="G109" t="s">
        <v>13</v>
      </c>
      <c r="H109" t="s">
        <v>19</v>
      </c>
    </row>
    <row r="110" spans="1:8" x14ac:dyDescent="0.45">
      <c r="A110" t="s">
        <v>397</v>
      </c>
      <c r="B110" t="s">
        <v>398</v>
      </c>
      <c r="C110" t="s">
        <v>59</v>
      </c>
      <c r="D110">
        <v>121003</v>
      </c>
      <c r="E110" t="s">
        <v>399</v>
      </c>
      <c r="F110" t="s">
        <v>12</v>
      </c>
      <c r="G110" t="s">
        <v>13</v>
      </c>
      <c r="H110" t="s">
        <v>19</v>
      </c>
    </row>
    <row r="111" spans="1:8" x14ac:dyDescent="0.45">
      <c r="A111" t="s">
        <v>400</v>
      </c>
      <c r="B111" t="s">
        <v>401</v>
      </c>
      <c r="C111" t="s">
        <v>151</v>
      </c>
      <c r="D111">
        <v>121003</v>
      </c>
      <c r="E111" t="s">
        <v>402</v>
      </c>
      <c r="F111" t="s">
        <v>12</v>
      </c>
      <c r="G111" t="s">
        <v>13</v>
      </c>
      <c r="H111" t="s">
        <v>19</v>
      </c>
    </row>
    <row r="112" spans="1:8" x14ac:dyDescent="0.45">
      <c r="A112" t="s">
        <v>403</v>
      </c>
      <c r="B112" t="s">
        <v>404</v>
      </c>
      <c r="C112" t="s">
        <v>405</v>
      </c>
      <c r="D112">
        <v>121003</v>
      </c>
      <c r="E112" t="s">
        <v>406</v>
      </c>
      <c r="F112" t="s">
        <v>12</v>
      </c>
      <c r="G112" t="s">
        <v>13</v>
      </c>
      <c r="H112" t="s">
        <v>19</v>
      </c>
    </row>
    <row r="113" spans="1:8" x14ac:dyDescent="0.45">
      <c r="A113" t="s">
        <v>407</v>
      </c>
      <c r="B113" t="s">
        <v>408</v>
      </c>
      <c r="C113" t="s">
        <v>409</v>
      </c>
      <c r="D113">
        <v>121003</v>
      </c>
      <c r="E113" t="s">
        <v>410</v>
      </c>
      <c r="F113" t="s">
        <v>12</v>
      </c>
      <c r="G113" t="s">
        <v>13</v>
      </c>
      <c r="H113" t="s">
        <v>19</v>
      </c>
    </row>
    <row r="114" spans="1:8" x14ac:dyDescent="0.45">
      <c r="A114" t="s">
        <v>411</v>
      </c>
      <c r="B114" t="s">
        <v>412</v>
      </c>
      <c r="C114" t="s">
        <v>151</v>
      </c>
      <c r="D114">
        <v>121003</v>
      </c>
      <c r="E114" t="s">
        <v>413</v>
      </c>
      <c r="F114" t="s">
        <v>12</v>
      </c>
      <c r="G114" t="s">
        <v>13</v>
      </c>
      <c r="H114" t="s">
        <v>19</v>
      </c>
    </row>
    <row r="115" spans="1:8" x14ac:dyDescent="0.45">
      <c r="A115" t="s">
        <v>414</v>
      </c>
      <c r="B115" t="s">
        <v>415</v>
      </c>
      <c r="C115" t="s">
        <v>416</v>
      </c>
      <c r="D115">
        <v>121003</v>
      </c>
      <c r="E115" t="s">
        <v>291</v>
      </c>
      <c r="F115" t="s">
        <v>12</v>
      </c>
      <c r="G115" t="s">
        <v>13</v>
      </c>
      <c r="H115" t="s">
        <v>214</v>
      </c>
    </row>
    <row r="116" spans="1:8" x14ac:dyDescent="0.45">
      <c r="A116" t="s">
        <v>417</v>
      </c>
      <c r="B116" t="s">
        <v>418</v>
      </c>
      <c r="C116" t="s">
        <v>419</v>
      </c>
      <c r="D116">
        <v>121003</v>
      </c>
      <c r="E116" t="s">
        <v>420</v>
      </c>
      <c r="F116" t="s">
        <v>12</v>
      </c>
      <c r="G116" t="s">
        <v>13</v>
      </c>
      <c r="H116" t="s">
        <v>24</v>
      </c>
    </row>
    <row r="117" spans="1:8" x14ac:dyDescent="0.45">
      <c r="A117" t="s">
        <v>421</v>
      </c>
      <c r="B117" t="s">
        <v>422</v>
      </c>
      <c r="C117" t="s">
        <v>151</v>
      </c>
      <c r="D117">
        <v>121003</v>
      </c>
      <c r="E117" t="s">
        <v>423</v>
      </c>
      <c r="F117" t="s">
        <v>12</v>
      </c>
      <c r="G117" t="s">
        <v>13</v>
      </c>
      <c r="H117" t="s">
        <v>19</v>
      </c>
    </row>
    <row r="118" spans="1:8" x14ac:dyDescent="0.45">
      <c r="A118" t="s">
        <v>424</v>
      </c>
      <c r="B118" t="s">
        <v>425</v>
      </c>
      <c r="C118" t="s">
        <v>59</v>
      </c>
      <c r="D118">
        <v>121003</v>
      </c>
      <c r="E118" t="s">
        <v>413</v>
      </c>
      <c r="F118" t="s">
        <v>12</v>
      </c>
      <c r="G118" t="s">
        <v>13</v>
      </c>
      <c r="H118" t="s">
        <v>19</v>
      </c>
    </row>
    <row r="119" spans="1:8" x14ac:dyDescent="0.45">
      <c r="A119" t="s">
        <v>426</v>
      </c>
      <c r="B119" t="s">
        <v>427</v>
      </c>
      <c r="C119" t="s">
        <v>321</v>
      </c>
      <c r="D119">
        <v>121003</v>
      </c>
      <c r="E119" t="s">
        <v>291</v>
      </c>
      <c r="F119" t="s">
        <v>12</v>
      </c>
      <c r="G119" t="s">
        <v>13</v>
      </c>
      <c r="H119" t="s">
        <v>14</v>
      </c>
    </row>
    <row r="120" spans="1:8" x14ac:dyDescent="0.45">
      <c r="A120" t="s">
        <v>428</v>
      </c>
      <c r="B120" t="s">
        <v>429</v>
      </c>
      <c r="C120" t="s">
        <v>217</v>
      </c>
      <c r="D120">
        <v>121003</v>
      </c>
      <c r="E120" t="s">
        <v>396</v>
      </c>
      <c r="F120" t="s">
        <v>12</v>
      </c>
      <c r="G120" t="s">
        <v>13</v>
      </c>
      <c r="H120" t="s">
        <v>19</v>
      </c>
    </row>
    <row r="121" spans="1:8" x14ac:dyDescent="0.45">
      <c r="A121" t="s">
        <v>430</v>
      </c>
      <c r="B121" t="s">
        <v>431</v>
      </c>
      <c r="C121" t="s">
        <v>370</v>
      </c>
      <c r="D121">
        <v>121003</v>
      </c>
      <c r="E121" t="s">
        <v>432</v>
      </c>
      <c r="F121" t="s">
        <v>12</v>
      </c>
      <c r="G121" t="s">
        <v>13</v>
      </c>
      <c r="H121" t="s">
        <v>19</v>
      </c>
    </row>
    <row r="122" spans="1:8" x14ac:dyDescent="0.45">
      <c r="A122" t="s">
        <v>433</v>
      </c>
      <c r="B122" t="s">
        <v>434</v>
      </c>
      <c r="C122" t="s">
        <v>48</v>
      </c>
      <c r="D122">
        <v>121003</v>
      </c>
      <c r="E122" t="s">
        <v>435</v>
      </c>
      <c r="F122" t="s">
        <v>12</v>
      </c>
      <c r="G122" t="s">
        <v>86</v>
      </c>
      <c r="H122" t="s">
        <v>275</v>
      </c>
    </row>
    <row r="123" spans="1:8" x14ac:dyDescent="0.45">
      <c r="A123" t="s">
        <v>436</v>
      </c>
      <c r="B123" t="s">
        <v>437</v>
      </c>
      <c r="C123" t="s">
        <v>48</v>
      </c>
      <c r="D123">
        <v>121003</v>
      </c>
      <c r="E123" t="s">
        <v>438</v>
      </c>
      <c r="F123" t="s">
        <v>12</v>
      </c>
      <c r="G123" t="s">
        <v>13</v>
      </c>
      <c r="H123" t="s">
        <v>34</v>
      </c>
    </row>
    <row r="124" spans="1:8" x14ac:dyDescent="0.45">
      <c r="A124" t="s">
        <v>439</v>
      </c>
      <c r="B124" t="s">
        <v>440</v>
      </c>
      <c r="C124" t="s">
        <v>48</v>
      </c>
      <c r="D124">
        <v>121003</v>
      </c>
      <c r="E124" t="s">
        <v>328</v>
      </c>
      <c r="F124" t="s">
        <v>28</v>
      </c>
      <c r="G124" t="s">
        <v>13</v>
      </c>
      <c r="H124" t="s">
        <v>77</v>
      </c>
    </row>
    <row r="125" spans="1:8" x14ac:dyDescent="0.45">
      <c r="A125" t="s">
        <v>441</v>
      </c>
      <c r="B125" t="s">
        <v>442</v>
      </c>
      <c r="C125" t="s">
        <v>48</v>
      </c>
      <c r="D125">
        <v>121003</v>
      </c>
      <c r="E125" t="s">
        <v>423</v>
      </c>
      <c r="F125" t="s">
        <v>12</v>
      </c>
      <c r="G125" t="s">
        <v>13</v>
      </c>
      <c r="H12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E792-34AC-4AD7-9542-4B0B683703D0}">
  <dimension ref="A1:C401"/>
  <sheetViews>
    <sheetView workbookViewId="0">
      <selection activeCell="D8" sqref="D8"/>
    </sheetView>
  </sheetViews>
  <sheetFormatPr defaultRowHeight="14.25" x14ac:dyDescent="0.45"/>
  <cols>
    <col min="1" max="1" width="16.46484375" customWidth="1"/>
    <col min="2" max="2" width="11.46484375" customWidth="1"/>
  </cols>
  <sheetData>
    <row r="1" spans="1:3" x14ac:dyDescent="0.45">
      <c r="A1" s="1" t="s">
        <v>443</v>
      </c>
      <c r="B1" s="1" t="s">
        <v>444</v>
      </c>
      <c r="C1" s="1" t="s">
        <v>445</v>
      </c>
    </row>
    <row r="2" spans="1:3" x14ac:dyDescent="0.45">
      <c r="A2" s="1" t="s">
        <v>334</v>
      </c>
      <c r="B2" s="2">
        <v>8904223818706</v>
      </c>
      <c r="C2" s="1" t="s">
        <v>446</v>
      </c>
    </row>
    <row r="3" spans="1:3" x14ac:dyDescent="0.45">
      <c r="A3" s="1" t="s">
        <v>334</v>
      </c>
      <c r="B3" s="2">
        <v>8904223819093</v>
      </c>
      <c r="C3" s="1" t="s">
        <v>446</v>
      </c>
    </row>
    <row r="4" spans="1:3" x14ac:dyDescent="0.45">
      <c r="A4" s="1" t="s">
        <v>334</v>
      </c>
      <c r="B4" s="2">
        <v>8904223819109</v>
      </c>
      <c r="C4" s="1" t="s">
        <v>446</v>
      </c>
    </row>
    <row r="5" spans="1:3" x14ac:dyDescent="0.45">
      <c r="A5" s="1" t="s">
        <v>334</v>
      </c>
      <c r="B5" s="2">
        <v>8904223818430</v>
      </c>
      <c r="C5" s="1" t="s">
        <v>446</v>
      </c>
    </row>
    <row r="6" spans="1:3" x14ac:dyDescent="0.45">
      <c r="A6" s="1" t="s">
        <v>334</v>
      </c>
      <c r="B6" s="2">
        <v>8904223819277</v>
      </c>
      <c r="C6" s="1" t="s">
        <v>446</v>
      </c>
    </row>
    <row r="7" spans="1:3" x14ac:dyDescent="0.45">
      <c r="A7" s="1" t="s">
        <v>334</v>
      </c>
      <c r="B7" s="1" t="s">
        <v>447</v>
      </c>
      <c r="C7" s="1" t="s">
        <v>446</v>
      </c>
    </row>
    <row r="8" spans="1:3" x14ac:dyDescent="0.45">
      <c r="A8" s="1" t="s">
        <v>334</v>
      </c>
      <c r="B8" s="2">
        <v>8904223818638</v>
      </c>
      <c r="C8" s="1" t="s">
        <v>448</v>
      </c>
    </row>
    <row r="9" spans="1:3" x14ac:dyDescent="0.45">
      <c r="A9" s="1" t="s">
        <v>334</v>
      </c>
      <c r="B9" s="1" t="s">
        <v>449</v>
      </c>
      <c r="C9" s="1" t="s">
        <v>446</v>
      </c>
    </row>
    <row r="10" spans="1:3" x14ac:dyDescent="0.45">
      <c r="A10" s="1" t="s">
        <v>133</v>
      </c>
      <c r="B10" s="2">
        <v>8904223819024</v>
      </c>
      <c r="C10" s="1" t="s">
        <v>450</v>
      </c>
    </row>
    <row r="11" spans="1:3" x14ac:dyDescent="0.45">
      <c r="A11" s="1" t="s">
        <v>133</v>
      </c>
      <c r="B11" s="2">
        <v>8904223819291</v>
      </c>
      <c r="C11" s="1" t="s">
        <v>450</v>
      </c>
    </row>
    <row r="12" spans="1:3" x14ac:dyDescent="0.45">
      <c r="A12" s="1" t="s">
        <v>133</v>
      </c>
      <c r="B12" s="2">
        <v>8904223818638</v>
      </c>
      <c r="C12" s="1" t="s">
        <v>451</v>
      </c>
    </row>
    <row r="13" spans="1:3" x14ac:dyDescent="0.45">
      <c r="A13" s="1" t="s">
        <v>133</v>
      </c>
      <c r="B13" s="2">
        <v>8904223818669</v>
      </c>
      <c r="C13" s="1" t="s">
        <v>446</v>
      </c>
    </row>
    <row r="14" spans="1:3" x14ac:dyDescent="0.45">
      <c r="A14" s="1" t="s">
        <v>133</v>
      </c>
      <c r="B14" s="1" t="s">
        <v>449</v>
      </c>
      <c r="C14" s="1" t="s">
        <v>446</v>
      </c>
    </row>
    <row r="15" spans="1:3" x14ac:dyDescent="0.45">
      <c r="A15" s="1" t="s">
        <v>130</v>
      </c>
      <c r="B15" s="2">
        <v>8904223819291</v>
      </c>
      <c r="C15" s="1" t="s">
        <v>448</v>
      </c>
    </row>
    <row r="16" spans="1:3" x14ac:dyDescent="0.45">
      <c r="A16" s="1" t="s">
        <v>130</v>
      </c>
      <c r="B16" s="2">
        <v>8904223819031</v>
      </c>
      <c r="C16" s="1" t="s">
        <v>448</v>
      </c>
    </row>
    <row r="17" spans="1:3" x14ac:dyDescent="0.45">
      <c r="A17" s="1" t="s">
        <v>130</v>
      </c>
      <c r="B17" s="2">
        <v>8904223819024</v>
      </c>
      <c r="C17" s="1" t="s">
        <v>448</v>
      </c>
    </row>
    <row r="18" spans="1:3" x14ac:dyDescent="0.45">
      <c r="A18" s="1" t="s">
        <v>320</v>
      </c>
      <c r="B18" s="2">
        <v>8904223819468</v>
      </c>
      <c r="C18" s="1" t="s">
        <v>448</v>
      </c>
    </row>
    <row r="19" spans="1:3" x14ac:dyDescent="0.45">
      <c r="A19" s="1" t="s">
        <v>320</v>
      </c>
      <c r="B19" s="2">
        <v>8904223819291</v>
      </c>
      <c r="C19" s="1" t="s">
        <v>452</v>
      </c>
    </row>
    <row r="20" spans="1:3" x14ac:dyDescent="0.45">
      <c r="A20" s="1" t="s">
        <v>314</v>
      </c>
      <c r="B20" s="2">
        <v>8904223819130</v>
      </c>
      <c r="C20" s="1" t="s">
        <v>446</v>
      </c>
    </row>
    <row r="21" spans="1:3" x14ac:dyDescent="0.45">
      <c r="A21" s="1" t="s">
        <v>314</v>
      </c>
      <c r="B21" s="2">
        <v>8904223818706</v>
      </c>
      <c r="C21" s="1" t="s">
        <v>446</v>
      </c>
    </row>
    <row r="22" spans="1:3" x14ac:dyDescent="0.45">
      <c r="A22" s="1" t="s">
        <v>312</v>
      </c>
      <c r="B22" s="2">
        <v>8904223818591</v>
      </c>
      <c r="C22" s="1" t="s">
        <v>448</v>
      </c>
    </row>
    <row r="23" spans="1:3" x14ac:dyDescent="0.45">
      <c r="A23" s="1" t="s">
        <v>309</v>
      </c>
      <c r="B23" s="2">
        <v>8904223818850</v>
      </c>
      <c r="C23" s="1" t="s">
        <v>446</v>
      </c>
    </row>
    <row r="24" spans="1:3" x14ac:dyDescent="0.45">
      <c r="A24" s="1" t="s">
        <v>309</v>
      </c>
      <c r="B24" s="2">
        <v>8904223818430</v>
      </c>
      <c r="C24" s="1" t="s">
        <v>446</v>
      </c>
    </row>
    <row r="25" spans="1:3" x14ac:dyDescent="0.45">
      <c r="A25" s="1" t="s">
        <v>309</v>
      </c>
      <c r="B25" s="2">
        <v>8904223819130</v>
      </c>
      <c r="C25" s="1" t="s">
        <v>446</v>
      </c>
    </row>
    <row r="26" spans="1:3" x14ac:dyDescent="0.45">
      <c r="A26" s="1" t="s">
        <v>306</v>
      </c>
      <c r="B26" s="2">
        <v>8904223819468</v>
      </c>
      <c r="C26" s="1" t="s">
        <v>446</v>
      </c>
    </row>
    <row r="27" spans="1:3" x14ac:dyDescent="0.45">
      <c r="A27" s="1" t="s">
        <v>303</v>
      </c>
      <c r="B27" s="2">
        <v>8904223818430</v>
      </c>
      <c r="C27" s="1" t="s">
        <v>446</v>
      </c>
    </row>
    <row r="28" spans="1:3" x14ac:dyDescent="0.45">
      <c r="A28" s="1" t="s">
        <v>317</v>
      </c>
      <c r="B28" s="2">
        <v>8904223818980</v>
      </c>
      <c r="C28" s="1" t="s">
        <v>446</v>
      </c>
    </row>
    <row r="29" spans="1:3" x14ac:dyDescent="0.45">
      <c r="A29" s="1" t="s">
        <v>317</v>
      </c>
      <c r="B29" s="2">
        <v>8904223819031</v>
      </c>
      <c r="C29" s="1" t="s">
        <v>448</v>
      </c>
    </row>
    <row r="30" spans="1:3" x14ac:dyDescent="0.45">
      <c r="A30" s="1" t="s">
        <v>317</v>
      </c>
      <c r="B30" s="2">
        <v>8904223819024</v>
      </c>
      <c r="C30" s="1" t="s">
        <v>448</v>
      </c>
    </row>
    <row r="31" spans="1:3" x14ac:dyDescent="0.45">
      <c r="A31" s="1" t="s">
        <v>301</v>
      </c>
      <c r="B31" s="2">
        <v>8904223818614</v>
      </c>
      <c r="C31" s="1" t="s">
        <v>446</v>
      </c>
    </row>
    <row r="32" spans="1:3" x14ac:dyDescent="0.45">
      <c r="A32" s="1" t="s">
        <v>301</v>
      </c>
      <c r="B32" s="2">
        <v>8904223819024</v>
      </c>
      <c r="C32" s="1" t="s">
        <v>446</v>
      </c>
    </row>
    <row r="33" spans="1:3" x14ac:dyDescent="0.45">
      <c r="A33" s="1" t="s">
        <v>122</v>
      </c>
      <c r="B33" s="2">
        <v>8904223819321</v>
      </c>
      <c r="C33" s="1" t="s">
        <v>446</v>
      </c>
    </row>
    <row r="34" spans="1:3" x14ac:dyDescent="0.45">
      <c r="A34" s="1" t="s">
        <v>122</v>
      </c>
      <c r="B34" s="2">
        <v>8904223819338</v>
      </c>
      <c r="C34" s="1" t="s">
        <v>446</v>
      </c>
    </row>
    <row r="35" spans="1:3" x14ac:dyDescent="0.45">
      <c r="A35" s="1" t="s">
        <v>298</v>
      </c>
      <c r="B35" s="2">
        <v>8904223818942</v>
      </c>
      <c r="C35" s="1" t="s">
        <v>448</v>
      </c>
    </row>
    <row r="36" spans="1:3" x14ac:dyDescent="0.45">
      <c r="A36" s="1" t="s">
        <v>298</v>
      </c>
      <c r="B36" s="2">
        <v>8904223818683</v>
      </c>
      <c r="C36" s="1" t="s">
        <v>448</v>
      </c>
    </row>
    <row r="37" spans="1:3" x14ac:dyDescent="0.45">
      <c r="A37" s="1" t="s">
        <v>298</v>
      </c>
      <c r="B37" s="2">
        <v>8904223819239</v>
      </c>
      <c r="C37" s="1" t="s">
        <v>446</v>
      </c>
    </row>
    <row r="38" spans="1:3" x14ac:dyDescent="0.45">
      <c r="A38" s="1" t="s">
        <v>298</v>
      </c>
      <c r="B38" s="2">
        <v>8904223819246</v>
      </c>
      <c r="C38" s="1" t="s">
        <v>446</v>
      </c>
    </row>
    <row r="39" spans="1:3" x14ac:dyDescent="0.45">
      <c r="A39" s="1" t="s">
        <v>298</v>
      </c>
      <c r="B39" s="2">
        <v>8904223819253</v>
      </c>
      <c r="C39" s="1" t="s">
        <v>446</v>
      </c>
    </row>
    <row r="40" spans="1:3" x14ac:dyDescent="0.45">
      <c r="A40" s="1" t="s">
        <v>298</v>
      </c>
      <c r="B40" s="2">
        <v>8904223818669</v>
      </c>
      <c r="C40" s="1" t="s">
        <v>446</v>
      </c>
    </row>
    <row r="41" spans="1:3" x14ac:dyDescent="0.45">
      <c r="A41" s="1" t="s">
        <v>298</v>
      </c>
      <c r="B41" s="2">
        <v>8904223819147</v>
      </c>
      <c r="C41" s="1" t="s">
        <v>446</v>
      </c>
    </row>
    <row r="42" spans="1:3" x14ac:dyDescent="0.45">
      <c r="A42" s="1" t="s">
        <v>298</v>
      </c>
      <c r="B42" s="2">
        <v>8904223818850</v>
      </c>
      <c r="C42" s="1" t="s">
        <v>446</v>
      </c>
    </row>
    <row r="43" spans="1:3" x14ac:dyDescent="0.45">
      <c r="A43" s="1" t="s">
        <v>437</v>
      </c>
      <c r="B43" s="2">
        <v>8904223815859</v>
      </c>
      <c r="C43" s="1" t="s">
        <v>446</v>
      </c>
    </row>
    <row r="44" spans="1:3" x14ac:dyDescent="0.45">
      <c r="A44" s="1" t="s">
        <v>437</v>
      </c>
      <c r="B44" s="2">
        <v>8904223817501</v>
      </c>
      <c r="C44" s="1" t="s">
        <v>446</v>
      </c>
    </row>
    <row r="45" spans="1:3" x14ac:dyDescent="0.45">
      <c r="A45" s="1" t="s">
        <v>324</v>
      </c>
      <c r="B45" s="2">
        <v>8904223817273</v>
      </c>
      <c r="C45" s="1" t="s">
        <v>446</v>
      </c>
    </row>
    <row r="46" spans="1:3" x14ac:dyDescent="0.45">
      <c r="A46" s="1" t="s">
        <v>330</v>
      </c>
      <c r="B46" s="2">
        <v>8904223818942</v>
      </c>
      <c r="C46" s="1" t="s">
        <v>446</v>
      </c>
    </row>
    <row r="47" spans="1:3" x14ac:dyDescent="0.45">
      <c r="A47" s="1" t="s">
        <v>330</v>
      </c>
      <c r="B47" s="2">
        <v>8904223818706</v>
      </c>
      <c r="C47" s="1" t="s">
        <v>446</v>
      </c>
    </row>
    <row r="48" spans="1:3" x14ac:dyDescent="0.45">
      <c r="A48" s="1" t="s">
        <v>330</v>
      </c>
      <c r="B48" s="1" t="s">
        <v>449</v>
      </c>
      <c r="C48" s="1" t="s">
        <v>446</v>
      </c>
    </row>
    <row r="49" spans="1:3" x14ac:dyDescent="0.45">
      <c r="A49" s="1" t="s">
        <v>117</v>
      </c>
      <c r="B49" s="2">
        <v>8904223819147</v>
      </c>
      <c r="C49" s="1" t="s">
        <v>446</v>
      </c>
    </row>
    <row r="50" spans="1:3" x14ac:dyDescent="0.45">
      <c r="A50" s="1" t="s">
        <v>117</v>
      </c>
      <c r="B50" s="2">
        <v>8904223818935</v>
      </c>
      <c r="C50" s="1" t="s">
        <v>450</v>
      </c>
    </row>
    <row r="51" spans="1:3" x14ac:dyDescent="0.45">
      <c r="A51" s="1" t="s">
        <v>117</v>
      </c>
      <c r="B51" s="2">
        <v>8904223818683</v>
      </c>
      <c r="C51" s="1" t="s">
        <v>446</v>
      </c>
    </row>
    <row r="52" spans="1:3" x14ac:dyDescent="0.45">
      <c r="A52" s="1" t="s">
        <v>114</v>
      </c>
      <c r="B52" s="2">
        <v>8904223818478</v>
      </c>
      <c r="C52" s="1" t="s">
        <v>446</v>
      </c>
    </row>
    <row r="53" spans="1:3" x14ac:dyDescent="0.45">
      <c r="A53" s="1" t="s">
        <v>114</v>
      </c>
      <c r="B53" s="2">
        <v>8904223819284</v>
      </c>
      <c r="C53" s="1" t="s">
        <v>446</v>
      </c>
    </row>
    <row r="54" spans="1:3" x14ac:dyDescent="0.45">
      <c r="A54" s="1" t="s">
        <v>126</v>
      </c>
      <c r="B54" s="2">
        <v>8904223816214</v>
      </c>
      <c r="C54" s="1" t="s">
        <v>446</v>
      </c>
    </row>
    <row r="55" spans="1:3" x14ac:dyDescent="0.45">
      <c r="A55" s="1" t="s">
        <v>126</v>
      </c>
      <c r="B55" s="2">
        <v>8904223818874</v>
      </c>
      <c r="C55" s="1" t="s">
        <v>446</v>
      </c>
    </row>
    <row r="56" spans="1:3" x14ac:dyDescent="0.45">
      <c r="A56" s="1" t="s">
        <v>126</v>
      </c>
      <c r="B56" s="2">
        <v>8904223819512</v>
      </c>
      <c r="C56" s="1" t="s">
        <v>446</v>
      </c>
    </row>
    <row r="57" spans="1:3" x14ac:dyDescent="0.45">
      <c r="A57" s="1" t="s">
        <v>126</v>
      </c>
      <c r="B57" s="2">
        <v>8904223818881</v>
      </c>
      <c r="C57" s="1" t="s">
        <v>446</v>
      </c>
    </row>
    <row r="58" spans="1:3" x14ac:dyDescent="0.45">
      <c r="A58" s="1" t="s">
        <v>126</v>
      </c>
      <c r="B58" s="2">
        <v>8904223819291</v>
      </c>
      <c r="C58" s="1" t="s">
        <v>448</v>
      </c>
    </row>
    <row r="59" spans="1:3" x14ac:dyDescent="0.45">
      <c r="A59" s="1" t="s">
        <v>126</v>
      </c>
      <c r="B59" s="2">
        <v>8904223819031</v>
      </c>
      <c r="C59" s="1" t="s">
        <v>448</v>
      </c>
    </row>
    <row r="60" spans="1:3" x14ac:dyDescent="0.45">
      <c r="A60" s="1" t="s">
        <v>126</v>
      </c>
      <c r="B60" s="2">
        <v>8904223819024</v>
      </c>
      <c r="C60" s="1" t="s">
        <v>448</v>
      </c>
    </row>
    <row r="61" spans="1:3" x14ac:dyDescent="0.45">
      <c r="A61" s="1" t="s">
        <v>126</v>
      </c>
      <c r="B61" s="2">
        <v>8904223818553</v>
      </c>
      <c r="C61" s="1" t="s">
        <v>446</v>
      </c>
    </row>
    <row r="62" spans="1:3" x14ac:dyDescent="0.45">
      <c r="A62" s="1" t="s">
        <v>295</v>
      </c>
      <c r="B62" s="2">
        <v>8904223818706</v>
      </c>
      <c r="C62" s="1" t="s">
        <v>446</v>
      </c>
    </row>
    <row r="63" spans="1:3" x14ac:dyDescent="0.45">
      <c r="A63" s="1" t="s">
        <v>295</v>
      </c>
      <c r="B63" s="2">
        <v>8904223818942</v>
      </c>
      <c r="C63" s="1" t="s">
        <v>446</v>
      </c>
    </row>
    <row r="64" spans="1:3" x14ac:dyDescent="0.45">
      <c r="A64" s="1" t="s">
        <v>295</v>
      </c>
      <c r="B64" s="2">
        <v>8904223818850</v>
      </c>
      <c r="C64" s="1" t="s">
        <v>446</v>
      </c>
    </row>
    <row r="65" spans="1:3" x14ac:dyDescent="0.45">
      <c r="A65" s="1" t="s">
        <v>110</v>
      </c>
      <c r="B65" s="2">
        <v>8904223816214</v>
      </c>
      <c r="C65" s="1" t="s">
        <v>448</v>
      </c>
    </row>
    <row r="66" spans="1:3" x14ac:dyDescent="0.45">
      <c r="A66" s="1" t="s">
        <v>110</v>
      </c>
      <c r="B66" s="2">
        <v>8904223818874</v>
      </c>
      <c r="C66" s="1" t="s">
        <v>448</v>
      </c>
    </row>
    <row r="67" spans="1:3" x14ac:dyDescent="0.45">
      <c r="A67" s="1" t="s">
        <v>110</v>
      </c>
      <c r="B67" s="2">
        <v>8904223818935</v>
      </c>
      <c r="C67" s="1" t="s">
        <v>450</v>
      </c>
    </row>
    <row r="68" spans="1:3" x14ac:dyDescent="0.45">
      <c r="A68" s="1" t="s">
        <v>293</v>
      </c>
      <c r="B68" s="2">
        <v>8904223816665</v>
      </c>
      <c r="C68" s="1" t="s">
        <v>448</v>
      </c>
    </row>
    <row r="69" spans="1:3" x14ac:dyDescent="0.45">
      <c r="A69" s="1" t="s">
        <v>293</v>
      </c>
      <c r="B69" s="2">
        <v>8904223819277</v>
      </c>
      <c r="C69" s="1" t="s">
        <v>446</v>
      </c>
    </row>
    <row r="70" spans="1:3" x14ac:dyDescent="0.45">
      <c r="A70" s="1" t="s">
        <v>290</v>
      </c>
      <c r="B70" s="2">
        <v>8904223816214</v>
      </c>
      <c r="C70" s="1" t="s">
        <v>446</v>
      </c>
    </row>
    <row r="71" spans="1:3" x14ac:dyDescent="0.45">
      <c r="A71" s="1" t="s">
        <v>290</v>
      </c>
      <c r="B71" s="2">
        <v>8904223818874</v>
      </c>
      <c r="C71" s="1" t="s">
        <v>446</v>
      </c>
    </row>
    <row r="72" spans="1:3" x14ac:dyDescent="0.45">
      <c r="A72" s="1" t="s">
        <v>287</v>
      </c>
      <c r="B72" s="2">
        <v>8904223818706</v>
      </c>
      <c r="C72" s="1" t="s">
        <v>446</v>
      </c>
    </row>
    <row r="73" spans="1:3" x14ac:dyDescent="0.45">
      <c r="A73" s="1" t="s">
        <v>281</v>
      </c>
      <c r="B73" s="2">
        <v>8904223816214</v>
      </c>
      <c r="C73" s="1" t="s">
        <v>446</v>
      </c>
    </row>
    <row r="74" spans="1:3" x14ac:dyDescent="0.45">
      <c r="A74" s="1" t="s">
        <v>281</v>
      </c>
      <c r="B74" s="2">
        <v>8904223818874</v>
      </c>
      <c r="C74" s="1" t="s">
        <v>446</v>
      </c>
    </row>
    <row r="75" spans="1:3" x14ac:dyDescent="0.45">
      <c r="A75" s="1" t="s">
        <v>281</v>
      </c>
      <c r="B75" s="2">
        <v>8904223818706</v>
      </c>
      <c r="C75" s="1" t="s">
        <v>446</v>
      </c>
    </row>
    <row r="76" spans="1:3" x14ac:dyDescent="0.45">
      <c r="A76" s="1" t="s">
        <v>281</v>
      </c>
      <c r="B76" s="2">
        <v>8904223818942</v>
      </c>
      <c r="C76" s="1" t="s">
        <v>446</v>
      </c>
    </row>
    <row r="77" spans="1:3" x14ac:dyDescent="0.45">
      <c r="A77" s="1" t="s">
        <v>281</v>
      </c>
      <c r="B77" s="2">
        <v>8904223818850</v>
      </c>
      <c r="C77" s="1" t="s">
        <v>446</v>
      </c>
    </row>
    <row r="78" spans="1:3" x14ac:dyDescent="0.45">
      <c r="A78" s="1" t="s">
        <v>431</v>
      </c>
      <c r="B78" s="2">
        <v>8904223818706</v>
      </c>
      <c r="C78" s="1" t="s">
        <v>446</v>
      </c>
    </row>
    <row r="79" spans="1:3" x14ac:dyDescent="0.45">
      <c r="A79" s="1" t="s">
        <v>431</v>
      </c>
      <c r="B79" s="2">
        <v>8904223818942</v>
      </c>
      <c r="C79" s="1" t="s">
        <v>446</v>
      </c>
    </row>
    <row r="80" spans="1:3" x14ac:dyDescent="0.45">
      <c r="A80" s="1" t="s">
        <v>431</v>
      </c>
      <c r="B80" s="2">
        <v>8904223818850</v>
      </c>
      <c r="C80" s="1" t="s">
        <v>446</v>
      </c>
    </row>
    <row r="81" spans="1:3" x14ac:dyDescent="0.45">
      <c r="A81" s="1" t="s">
        <v>277</v>
      </c>
      <c r="B81" s="2">
        <v>8904223818478</v>
      </c>
      <c r="C81" s="1" t="s">
        <v>446</v>
      </c>
    </row>
    <row r="82" spans="1:3" x14ac:dyDescent="0.45">
      <c r="A82" s="1" t="s">
        <v>277</v>
      </c>
      <c r="B82" s="2">
        <v>8904223819130</v>
      </c>
      <c r="C82" s="1" t="s">
        <v>446</v>
      </c>
    </row>
    <row r="83" spans="1:3" x14ac:dyDescent="0.45">
      <c r="A83" s="1" t="s">
        <v>277</v>
      </c>
      <c r="B83" s="2">
        <v>8904223819277</v>
      </c>
      <c r="C83" s="1" t="s">
        <v>446</v>
      </c>
    </row>
    <row r="84" spans="1:3" x14ac:dyDescent="0.45">
      <c r="A84" s="1" t="s">
        <v>277</v>
      </c>
      <c r="B84" s="2">
        <v>8904223819284</v>
      </c>
      <c r="C84" s="1" t="s">
        <v>446</v>
      </c>
    </row>
    <row r="85" spans="1:3" x14ac:dyDescent="0.45">
      <c r="A85" s="1" t="s">
        <v>277</v>
      </c>
      <c r="B85" s="1" t="s">
        <v>453</v>
      </c>
      <c r="C85" s="1" t="s">
        <v>446</v>
      </c>
    </row>
    <row r="86" spans="1:3" x14ac:dyDescent="0.45">
      <c r="A86" s="1" t="s">
        <v>277</v>
      </c>
      <c r="B86" s="2">
        <v>8904223819291</v>
      </c>
      <c r="C86" s="1" t="s">
        <v>448</v>
      </c>
    </row>
    <row r="87" spans="1:3" x14ac:dyDescent="0.45">
      <c r="A87" s="1" t="s">
        <v>277</v>
      </c>
      <c r="B87" s="2">
        <v>8904223819031</v>
      </c>
      <c r="C87" s="1" t="s">
        <v>448</v>
      </c>
    </row>
    <row r="88" spans="1:3" x14ac:dyDescent="0.45">
      <c r="A88" s="1" t="s">
        <v>277</v>
      </c>
      <c r="B88" s="2">
        <v>8904223819024</v>
      </c>
      <c r="C88" s="1" t="s">
        <v>448</v>
      </c>
    </row>
    <row r="89" spans="1:3" x14ac:dyDescent="0.45">
      <c r="A89" s="1" t="s">
        <v>105</v>
      </c>
      <c r="B89" s="2">
        <v>8904223818980</v>
      </c>
      <c r="C89" s="1" t="s">
        <v>446</v>
      </c>
    </row>
    <row r="90" spans="1:3" x14ac:dyDescent="0.45">
      <c r="A90" s="1" t="s">
        <v>105</v>
      </c>
      <c r="B90" s="2">
        <v>8904223819031</v>
      </c>
      <c r="C90" s="1" t="s">
        <v>450</v>
      </c>
    </row>
    <row r="91" spans="1:3" x14ac:dyDescent="0.45">
      <c r="A91" s="1" t="s">
        <v>284</v>
      </c>
      <c r="B91" s="2">
        <v>8904223819031</v>
      </c>
      <c r="C91" s="1" t="s">
        <v>450</v>
      </c>
    </row>
    <row r="92" spans="1:3" x14ac:dyDescent="0.45">
      <c r="A92" s="1" t="s">
        <v>284</v>
      </c>
      <c r="B92" s="2">
        <v>8904223819017</v>
      </c>
      <c r="C92" s="1" t="s">
        <v>446</v>
      </c>
    </row>
    <row r="93" spans="1:3" x14ac:dyDescent="0.45">
      <c r="A93" s="1" t="s">
        <v>429</v>
      </c>
      <c r="B93" s="2">
        <v>8904223818706</v>
      </c>
      <c r="C93" s="1" t="s">
        <v>446</v>
      </c>
    </row>
    <row r="94" spans="1:3" x14ac:dyDescent="0.45">
      <c r="A94" s="1" t="s">
        <v>429</v>
      </c>
      <c r="B94" s="2">
        <v>8904223818942</v>
      </c>
      <c r="C94" s="1" t="s">
        <v>446</v>
      </c>
    </row>
    <row r="95" spans="1:3" x14ac:dyDescent="0.45">
      <c r="A95" s="1" t="s">
        <v>429</v>
      </c>
      <c r="B95" s="2">
        <v>8904223818850</v>
      </c>
      <c r="C95" s="1" t="s">
        <v>446</v>
      </c>
    </row>
    <row r="96" spans="1:3" x14ac:dyDescent="0.45">
      <c r="A96" s="1" t="s">
        <v>273</v>
      </c>
      <c r="B96" s="2">
        <v>8904223818706</v>
      </c>
      <c r="C96" s="1" t="s">
        <v>446</v>
      </c>
    </row>
    <row r="97" spans="1:3" x14ac:dyDescent="0.45">
      <c r="A97" s="1" t="s">
        <v>273</v>
      </c>
      <c r="B97" s="2">
        <v>8904223818942</v>
      </c>
      <c r="C97" s="1" t="s">
        <v>446</v>
      </c>
    </row>
    <row r="98" spans="1:3" x14ac:dyDescent="0.45">
      <c r="A98" s="1" t="s">
        <v>273</v>
      </c>
      <c r="B98" s="2">
        <v>8904223818850</v>
      </c>
      <c r="C98" s="1" t="s">
        <v>446</v>
      </c>
    </row>
    <row r="99" spans="1:3" x14ac:dyDescent="0.45">
      <c r="A99" s="1" t="s">
        <v>327</v>
      </c>
      <c r="B99" s="2">
        <v>8904223816214</v>
      </c>
      <c r="C99" s="1" t="s">
        <v>446</v>
      </c>
    </row>
    <row r="100" spans="1:3" x14ac:dyDescent="0.45">
      <c r="A100" s="1" t="s">
        <v>327</v>
      </c>
      <c r="B100" s="2">
        <v>8904223818669</v>
      </c>
      <c r="C100" s="1" t="s">
        <v>448</v>
      </c>
    </row>
    <row r="101" spans="1:3" x14ac:dyDescent="0.45">
      <c r="A101" s="1" t="s">
        <v>327</v>
      </c>
      <c r="B101" s="2">
        <v>8904223818683</v>
      </c>
      <c r="C101" s="1" t="s">
        <v>446</v>
      </c>
    </row>
    <row r="102" spans="1:3" x14ac:dyDescent="0.45">
      <c r="A102" s="1" t="s">
        <v>440</v>
      </c>
      <c r="B102" s="2">
        <v>8904223818706</v>
      </c>
      <c r="C102" s="1" t="s">
        <v>446</v>
      </c>
    </row>
    <row r="103" spans="1:3" x14ac:dyDescent="0.45">
      <c r="A103" s="1" t="s">
        <v>440</v>
      </c>
      <c r="B103" s="2">
        <v>8904223818669</v>
      </c>
      <c r="C103" s="1" t="s">
        <v>446</v>
      </c>
    </row>
    <row r="104" spans="1:3" x14ac:dyDescent="0.45">
      <c r="A104" s="1" t="s">
        <v>440</v>
      </c>
      <c r="B104" s="2">
        <v>8904223819499</v>
      </c>
      <c r="C104" s="1" t="s">
        <v>446</v>
      </c>
    </row>
    <row r="105" spans="1:3" x14ac:dyDescent="0.45">
      <c r="A105" s="1" t="s">
        <v>440</v>
      </c>
      <c r="B105" s="2">
        <v>8904223819031</v>
      </c>
      <c r="C105" s="1" t="s">
        <v>446</v>
      </c>
    </row>
    <row r="106" spans="1:3" x14ac:dyDescent="0.45">
      <c r="A106" s="1" t="s">
        <v>270</v>
      </c>
      <c r="B106" s="2">
        <v>8904223818706</v>
      </c>
      <c r="C106" s="1" t="s">
        <v>446</v>
      </c>
    </row>
    <row r="107" spans="1:3" x14ac:dyDescent="0.45">
      <c r="A107" s="1" t="s">
        <v>270</v>
      </c>
      <c r="B107" s="2">
        <v>8904223818850</v>
      </c>
      <c r="C107" s="1" t="s">
        <v>446</v>
      </c>
    </row>
    <row r="108" spans="1:3" x14ac:dyDescent="0.45">
      <c r="A108" s="1" t="s">
        <v>270</v>
      </c>
      <c r="B108" s="2">
        <v>8904223819468</v>
      </c>
      <c r="C108" s="1" t="s">
        <v>446</v>
      </c>
    </row>
    <row r="109" spans="1:3" x14ac:dyDescent="0.45">
      <c r="A109" s="1" t="s">
        <v>266</v>
      </c>
      <c r="B109" s="2">
        <v>8904223815859</v>
      </c>
      <c r="C109" s="1" t="s">
        <v>446</v>
      </c>
    </row>
    <row r="110" spans="1:3" x14ac:dyDescent="0.45">
      <c r="A110" s="1" t="s">
        <v>266</v>
      </c>
      <c r="B110" s="2">
        <v>8904223818751</v>
      </c>
      <c r="C110" s="1" t="s">
        <v>446</v>
      </c>
    </row>
    <row r="111" spans="1:3" x14ac:dyDescent="0.45">
      <c r="A111" s="1" t="s">
        <v>266</v>
      </c>
      <c r="B111" s="2">
        <v>8904223815873</v>
      </c>
      <c r="C111" s="1" t="s">
        <v>446</v>
      </c>
    </row>
    <row r="112" spans="1:3" x14ac:dyDescent="0.45">
      <c r="A112" s="1" t="s">
        <v>266</v>
      </c>
      <c r="B112" s="2">
        <v>8904223815859</v>
      </c>
      <c r="C112" s="1" t="s">
        <v>446</v>
      </c>
    </row>
    <row r="113" spans="1:3" x14ac:dyDescent="0.45">
      <c r="A113" s="1" t="s">
        <v>427</v>
      </c>
      <c r="B113" s="2">
        <v>8904223819352</v>
      </c>
      <c r="C113" s="1" t="s">
        <v>446</v>
      </c>
    </row>
    <row r="114" spans="1:3" x14ac:dyDescent="0.45">
      <c r="A114" s="1" t="s">
        <v>427</v>
      </c>
      <c r="B114" s="2">
        <v>8904223819543</v>
      </c>
      <c r="C114" s="1" t="s">
        <v>446</v>
      </c>
    </row>
    <row r="115" spans="1:3" x14ac:dyDescent="0.45">
      <c r="A115" s="1" t="s">
        <v>427</v>
      </c>
      <c r="B115" s="2">
        <v>8904223819147</v>
      </c>
      <c r="C115" s="1" t="s">
        <v>446</v>
      </c>
    </row>
    <row r="116" spans="1:3" x14ac:dyDescent="0.45">
      <c r="A116" s="1" t="s">
        <v>427</v>
      </c>
      <c r="B116" s="2">
        <v>8904223819468</v>
      </c>
      <c r="C116" s="1" t="s">
        <v>446</v>
      </c>
    </row>
    <row r="117" spans="1:3" x14ac:dyDescent="0.45">
      <c r="A117" s="1" t="s">
        <v>442</v>
      </c>
      <c r="B117" s="2">
        <v>8904223816214</v>
      </c>
      <c r="C117" s="1" t="s">
        <v>446</v>
      </c>
    </row>
    <row r="118" spans="1:3" x14ac:dyDescent="0.45">
      <c r="A118" s="1" t="s">
        <v>442</v>
      </c>
      <c r="B118" s="2">
        <v>8904223819499</v>
      </c>
      <c r="C118" s="1" t="s">
        <v>446</v>
      </c>
    </row>
    <row r="119" spans="1:3" x14ac:dyDescent="0.45">
      <c r="A119" s="1" t="s">
        <v>442</v>
      </c>
      <c r="B119" s="2">
        <v>8904223819505</v>
      </c>
      <c r="C119" s="1" t="s">
        <v>446</v>
      </c>
    </row>
    <row r="120" spans="1:3" x14ac:dyDescent="0.45">
      <c r="A120" s="1" t="s">
        <v>442</v>
      </c>
      <c r="B120" s="2">
        <v>8904223819512</v>
      </c>
      <c r="C120" s="1" t="s">
        <v>446</v>
      </c>
    </row>
    <row r="121" spans="1:3" x14ac:dyDescent="0.45">
      <c r="A121" s="1" t="s">
        <v>263</v>
      </c>
      <c r="B121" s="2">
        <v>8904223819468</v>
      </c>
      <c r="C121" s="1" t="s">
        <v>446</v>
      </c>
    </row>
    <row r="122" spans="1:3" x14ac:dyDescent="0.45">
      <c r="A122" s="1" t="s">
        <v>263</v>
      </c>
      <c r="B122" s="2">
        <v>8904223819345</v>
      </c>
      <c r="C122" s="1" t="s">
        <v>446</v>
      </c>
    </row>
    <row r="123" spans="1:3" x14ac:dyDescent="0.45">
      <c r="A123" s="1" t="s">
        <v>263</v>
      </c>
      <c r="B123" s="2">
        <v>8904223818874</v>
      </c>
      <c r="C123" s="1" t="s">
        <v>446</v>
      </c>
    </row>
    <row r="124" spans="1:3" x14ac:dyDescent="0.45">
      <c r="A124" s="1" t="s">
        <v>138</v>
      </c>
      <c r="B124" s="2">
        <v>8904223816214</v>
      </c>
      <c r="C124" s="1" t="s">
        <v>446</v>
      </c>
    </row>
    <row r="125" spans="1:3" x14ac:dyDescent="0.45">
      <c r="A125" s="1" t="s">
        <v>138</v>
      </c>
      <c r="B125" s="2">
        <v>8904223818874</v>
      </c>
      <c r="C125" s="1" t="s">
        <v>446</v>
      </c>
    </row>
    <row r="126" spans="1:3" x14ac:dyDescent="0.45">
      <c r="A126" s="1" t="s">
        <v>138</v>
      </c>
      <c r="B126" s="2">
        <v>8904223818881</v>
      </c>
      <c r="C126" s="1" t="s">
        <v>446</v>
      </c>
    </row>
    <row r="127" spans="1:3" x14ac:dyDescent="0.45">
      <c r="A127" s="1" t="s">
        <v>138</v>
      </c>
      <c r="B127" s="2">
        <v>8904223819291</v>
      </c>
      <c r="C127" s="1" t="s">
        <v>448</v>
      </c>
    </row>
    <row r="128" spans="1:3" x14ac:dyDescent="0.45">
      <c r="A128" s="1" t="s">
        <v>138</v>
      </c>
      <c r="B128" s="2">
        <v>8904223819031</v>
      </c>
      <c r="C128" s="1" t="s">
        <v>448</v>
      </c>
    </row>
    <row r="129" spans="1:3" x14ac:dyDescent="0.45">
      <c r="A129" s="1" t="s">
        <v>138</v>
      </c>
      <c r="B129" s="2">
        <v>8904223819024</v>
      </c>
      <c r="C129" s="1" t="s">
        <v>448</v>
      </c>
    </row>
    <row r="130" spans="1:3" x14ac:dyDescent="0.45">
      <c r="A130" s="1" t="s">
        <v>260</v>
      </c>
      <c r="B130" s="2">
        <v>8904223818706</v>
      </c>
      <c r="C130" s="1" t="s">
        <v>446</v>
      </c>
    </row>
    <row r="131" spans="1:3" x14ac:dyDescent="0.45">
      <c r="A131" s="1" t="s">
        <v>260</v>
      </c>
      <c r="B131" s="2">
        <v>8904223818850</v>
      </c>
      <c r="C131" s="1" t="s">
        <v>446</v>
      </c>
    </row>
    <row r="132" spans="1:3" x14ac:dyDescent="0.45">
      <c r="A132" s="1" t="s">
        <v>260</v>
      </c>
      <c r="B132" s="2">
        <v>8904223819468</v>
      </c>
      <c r="C132" s="1" t="s">
        <v>446</v>
      </c>
    </row>
    <row r="133" spans="1:3" x14ac:dyDescent="0.45">
      <c r="A133" s="1" t="s">
        <v>425</v>
      </c>
      <c r="B133" s="2">
        <v>8904223818706</v>
      </c>
      <c r="C133" s="1" t="s">
        <v>446</v>
      </c>
    </row>
    <row r="134" spans="1:3" x14ac:dyDescent="0.45">
      <c r="A134" s="1" t="s">
        <v>425</v>
      </c>
      <c r="B134" s="2">
        <v>8904223818942</v>
      </c>
      <c r="C134" s="1" t="s">
        <v>446</v>
      </c>
    </row>
    <row r="135" spans="1:3" x14ac:dyDescent="0.45">
      <c r="A135" s="1" t="s">
        <v>425</v>
      </c>
      <c r="B135" s="2">
        <v>8904223818850</v>
      </c>
      <c r="C135" s="1" t="s">
        <v>446</v>
      </c>
    </row>
    <row r="136" spans="1:3" x14ac:dyDescent="0.45">
      <c r="A136" s="1" t="s">
        <v>422</v>
      </c>
      <c r="B136" s="2">
        <v>8904223818706</v>
      </c>
      <c r="C136" s="1" t="s">
        <v>446</v>
      </c>
    </row>
    <row r="137" spans="1:3" x14ac:dyDescent="0.45">
      <c r="A137" s="1" t="s">
        <v>422</v>
      </c>
      <c r="B137" s="2">
        <v>8904223818683</v>
      </c>
      <c r="C137" s="1" t="s">
        <v>446</v>
      </c>
    </row>
    <row r="138" spans="1:3" x14ac:dyDescent="0.45">
      <c r="A138" s="1" t="s">
        <v>422</v>
      </c>
      <c r="B138" s="2">
        <v>8904223818850</v>
      </c>
      <c r="C138" s="1" t="s">
        <v>446</v>
      </c>
    </row>
    <row r="139" spans="1:3" x14ac:dyDescent="0.45">
      <c r="A139" s="1" t="s">
        <v>418</v>
      </c>
      <c r="B139" s="2">
        <v>8904223818706</v>
      </c>
      <c r="C139" s="1" t="s">
        <v>446</v>
      </c>
    </row>
    <row r="140" spans="1:3" x14ac:dyDescent="0.45">
      <c r="A140" s="1" t="s">
        <v>418</v>
      </c>
      <c r="B140" s="2">
        <v>8904223818850</v>
      </c>
      <c r="C140" s="1" t="s">
        <v>446</v>
      </c>
    </row>
    <row r="141" spans="1:3" x14ac:dyDescent="0.45">
      <c r="A141" s="1" t="s">
        <v>418</v>
      </c>
      <c r="B141" s="2">
        <v>8904223819468</v>
      </c>
      <c r="C141" s="1" t="s">
        <v>446</v>
      </c>
    </row>
    <row r="142" spans="1:3" x14ac:dyDescent="0.45">
      <c r="A142" s="1" t="s">
        <v>415</v>
      </c>
      <c r="B142" s="2">
        <v>8904223819468</v>
      </c>
      <c r="C142" s="1" t="s">
        <v>446</v>
      </c>
    </row>
    <row r="143" spans="1:3" x14ac:dyDescent="0.45">
      <c r="A143" s="1" t="s">
        <v>415</v>
      </c>
      <c r="B143" s="2">
        <v>8904223818454</v>
      </c>
      <c r="C143" s="1" t="s">
        <v>446</v>
      </c>
    </row>
    <row r="144" spans="1:3" x14ac:dyDescent="0.45">
      <c r="A144" s="1" t="s">
        <v>415</v>
      </c>
      <c r="B144" s="2">
        <v>8904223818669</v>
      </c>
      <c r="C144" s="1" t="s">
        <v>446</v>
      </c>
    </row>
    <row r="145" spans="1:3" x14ac:dyDescent="0.45">
      <c r="A145" s="1" t="s">
        <v>415</v>
      </c>
      <c r="B145" s="2">
        <v>8904223818638</v>
      </c>
      <c r="C145" s="1" t="s">
        <v>448</v>
      </c>
    </row>
    <row r="146" spans="1:3" x14ac:dyDescent="0.45">
      <c r="A146" s="1" t="s">
        <v>412</v>
      </c>
      <c r="B146" s="2">
        <v>8904223818706</v>
      </c>
      <c r="C146" s="1" t="s">
        <v>446</v>
      </c>
    </row>
    <row r="147" spans="1:3" x14ac:dyDescent="0.45">
      <c r="A147" s="1" t="s">
        <v>412</v>
      </c>
      <c r="B147" s="2">
        <v>8904223818942</v>
      </c>
      <c r="C147" s="1" t="s">
        <v>446</v>
      </c>
    </row>
    <row r="148" spans="1:3" x14ac:dyDescent="0.45">
      <c r="A148" s="1" t="s">
        <v>412</v>
      </c>
      <c r="B148" s="2">
        <v>8904223818850</v>
      </c>
      <c r="C148" s="1" t="s">
        <v>446</v>
      </c>
    </row>
    <row r="149" spans="1:3" x14ac:dyDescent="0.45">
      <c r="A149" s="1" t="s">
        <v>408</v>
      </c>
      <c r="B149" s="2">
        <v>8904223818706</v>
      </c>
      <c r="C149" s="1" t="s">
        <v>446</v>
      </c>
    </row>
    <row r="150" spans="1:3" x14ac:dyDescent="0.45">
      <c r="A150" s="1" t="s">
        <v>408</v>
      </c>
      <c r="B150" s="2">
        <v>8904223818942</v>
      </c>
      <c r="C150" s="1" t="s">
        <v>446</v>
      </c>
    </row>
    <row r="151" spans="1:3" x14ac:dyDescent="0.45">
      <c r="A151" s="1" t="s">
        <v>408</v>
      </c>
      <c r="B151" s="2">
        <v>8904223818850</v>
      </c>
      <c r="C151" s="1" t="s">
        <v>446</v>
      </c>
    </row>
    <row r="152" spans="1:3" x14ac:dyDescent="0.45">
      <c r="A152" s="1" t="s">
        <v>256</v>
      </c>
      <c r="B152" s="2">
        <v>8904223818850</v>
      </c>
      <c r="C152" s="1" t="s">
        <v>446</v>
      </c>
    </row>
    <row r="153" spans="1:3" x14ac:dyDescent="0.45">
      <c r="A153" s="1" t="s">
        <v>256</v>
      </c>
      <c r="B153" s="2">
        <v>8904223818683</v>
      </c>
      <c r="C153" s="1" t="s">
        <v>446</v>
      </c>
    </row>
    <row r="154" spans="1:3" x14ac:dyDescent="0.45">
      <c r="A154" s="1" t="s">
        <v>256</v>
      </c>
      <c r="B154" s="2">
        <v>8904223819468</v>
      </c>
      <c r="C154" s="1" t="s">
        <v>446</v>
      </c>
    </row>
    <row r="155" spans="1:3" x14ac:dyDescent="0.45">
      <c r="A155" s="1" t="s">
        <v>404</v>
      </c>
      <c r="B155" s="2">
        <v>8904223818850</v>
      </c>
      <c r="C155" s="1" t="s">
        <v>446</v>
      </c>
    </row>
    <row r="156" spans="1:3" x14ac:dyDescent="0.45">
      <c r="A156" s="1" t="s">
        <v>404</v>
      </c>
      <c r="B156" s="2">
        <v>8904223818683</v>
      </c>
      <c r="C156" s="1" t="s">
        <v>446</v>
      </c>
    </row>
    <row r="157" spans="1:3" x14ac:dyDescent="0.45">
      <c r="A157" s="1" t="s">
        <v>142</v>
      </c>
      <c r="B157" s="2">
        <v>8904223819499</v>
      </c>
      <c r="C157" s="1" t="s">
        <v>446</v>
      </c>
    </row>
    <row r="158" spans="1:3" x14ac:dyDescent="0.45">
      <c r="A158" s="1" t="s">
        <v>142</v>
      </c>
      <c r="B158" s="2">
        <v>8904223819505</v>
      </c>
      <c r="C158" s="1" t="s">
        <v>446</v>
      </c>
    </row>
    <row r="159" spans="1:3" x14ac:dyDescent="0.45">
      <c r="A159" s="1" t="s">
        <v>142</v>
      </c>
      <c r="B159" s="2">
        <v>8904223819512</v>
      </c>
      <c r="C159" s="1" t="s">
        <v>446</v>
      </c>
    </row>
    <row r="160" spans="1:3" x14ac:dyDescent="0.45">
      <c r="A160" s="1" t="s">
        <v>234</v>
      </c>
      <c r="B160" s="2">
        <v>8904223819277</v>
      </c>
      <c r="C160" s="1" t="s">
        <v>446</v>
      </c>
    </row>
    <row r="161" spans="1:3" x14ac:dyDescent="0.45">
      <c r="A161" s="1" t="s">
        <v>234</v>
      </c>
      <c r="B161" s="2">
        <v>8904223818478</v>
      </c>
      <c r="C161" s="1" t="s">
        <v>446</v>
      </c>
    </row>
    <row r="162" spans="1:3" x14ac:dyDescent="0.45">
      <c r="A162" s="1" t="s">
        <v>234</v>
      </c>
      <c r="B162" s="2">
        <v>8904223819284</v>
      </c>
      <c r="C162" s="1" t="s">
        <v>446</v>
      </c>
    </row>
    <row r="163" spans="1:3" x14ac:dyDescent="0.45">
      <c r="A163" s="1" t="s">
        <v>234</v>
      </c>
      <c r="B163" s="2">
        <v>8904223819130</v>
      </c>
      <c r="C163" s="1" t="s">
        <v>446</v>
      </c>
    </row>
    <row r="164" spans="1:3" x14ac:dyDescent="0.45">
      <c r="A164" s="1" t="s">
        <v>234</v>
      </c>
      <c r="B164" s="2">
        <v>8904223819031</v>
      </c>
      <c r="C164" s="1" t="s">
        <v>448</v>
      </c>
    </row>
    <row r="165" spans="1:3" x14ac:dyDescent="0.45">
      <c r="A165" s="1" t="s">
        <v>234</v>
      </c>
      <c r="B165" s="2">
        <v>8904223819024</v>
      </c>
      <c r="C165" s="1" t="s">
        <v>448</v>
      </c>
    </row>
    <row r="166" spans="1:3" x14ac:dyDescent="0.45">
      <c r="A166" s="1" t="s">
        <v>234</v>
      </c>
      <c r="B166" s="2">
        <v>8904223816214</v>
      </c>
      <c r="C166" s="1" t="s">
        <v>446</v>
      </c>
    </row>
    <row r="167" spans="1:3" x14ac:dyDescent="0.45">
      <c r="A167" s="1" t="s">
        <v>234</v>
      </c>
      <c r="B167" s="2">
        <v>8904223818874</v>
      </c>
      <c r="C167" s="1" t="s">
        <v>446</v>
      </c>
    </row>
    <row r="168" spans="1:3" x14ac:dyDescent="0.45">
      <c r="A168" s="1" t="s">
        <v>234</v>
      </c>
      <c r="B168" s="2">
        <v>8904223818881</v>
      </c>
      <c r="C168" s="1" t="s">
        <v>446</v>
      </c>
    </row>
    <row r="169" spans="1:3" x14ac:dyDescent="0.45">
      <c r="A169" s="1" t="s">
        <v>234</v>
      </c>
      <c r="B169" s="2">
        <v>8904223818898</v>
      </c>
      <c r="C169" s="1" t="s">
        <v>446</v>
      </c>
    </row>
    <row r="170" spans="1:3" x14ac:dyDescent="0.45">
      <c r="A170" s="1" t="s">
        <v>234</v>
      </c>
      <c r="B170" s="2">
        <v>8904223818706</v>
      </c>
      <c r="C170" s="1" t="s">
        <v>446</v>
      </c>
    </row>
    <row r="171" spans="1:3" x14ac:dyDescent="0.45">
      <c r="A171" s="1" t="s">
        <v>234</v>
      </c>
      <c r="B171" s="2">
        <v>8904223818942</v>
      </c>
      <c r="C171" s="1" t="s">
        <v>446</v>
      </c>
    </row>
    <row r="172" spans="1:3" x14ac:dyDescent="0.45">
      <c r="A172" s="1" t="s">
        <v>234</v>
      </c>
      <c r="B172" s="2">
        <v>8904223818850</v>
      </c>
      <c r="C172" s="1" t="s">
        <v>446</v>
      </c>
    </row>
    <row r="173" spans="1:3" x14ac:dyDescent="0.45">
      <c r="A173" s="1" t="s">
        <v>234</v>
      </c>
      <c r="B173" s="2">
        <v>8904223818454</v>
      </c>
      <c r="C173" s="1" t="s">
        <v>446</v>
      </c>
    </row>
    <row r="174" spans="1:3" x14ac:dyDescent="0.45">
      <c r="A174" s="1" t="s">
        <v>231</v>
      </c>
      <c r="B174" s="2">
        <v>8904223819284</v>
      </c>
      <c r="C174" s="1" t="s">
        <v>446</v>
      </c>
    </row>
    <row r="175" spans="1:3" x14ac:dyDescent="0.45">
      <c r="A175" s="1" t="s">
        <v>231</v>
      </c>
      <c r="B175" s="2">
        <v>8904223819352</v>
      </c>
      <c r="C175" s="1" t="s">
        <v>446</v>
      </c>
    </row>
    <row r="176" spans="1:3" x14ac:dyDescent="0.45">
      <c r="A176" s="1" t="s">
        <v>231</v>
      </c>
      <c r="B176" s="2">
        <v>8904223818935</v>
      </c>
      <c r="C176" s="1" t="s">
        <v>446</v>
      </c>
    </row>
    <row r="177" spans="1:3" x14ac:dyDescent="0.45">
      <c r="A177" s="1" t="s">
        <v>231</v>
      </c>
      <c r="B177" s="2">
        <v>8904223816214</v>
      </c>
      <c r="C177" s="1" t="s">
        <v>446</v>
      </c>
    </row>
    <row r="178" spans="1:3" x14ac:dyDescent="0.45">
      <c r="A178" s="1" t="s">
        <v>231</v>
      </c>
      <c r="B178" s="2">
        <v>8904223818454</v>
      </c>
      <c r="C178" s="1" t="s">
        <v>446</v>
      </c>
    </row>
    <row r="179" spans="1:3" x14ac:dyDescent="0.45">
      <c r="A179" s="1" t="s">
        <v>231</v>
      </c>
      <c r="B179" s="1" t="s">
        <v>454</v>
      </c>
      <c r="C179" s="1" t="s">
        <v>446</v>
      </c>
    </row>
    <row r="180" spans="1:3" x14ac:dyDescent="0.45">
      <c r="A180" s="1" t="s">
        <v>231</v>
      </c>
      <c r="B180" s="2">
        <v>8904223819116</v>
      </c>
      <c r="C180" s="1" t="s">
        <v>446</v>
      </c>
    </row>
    <row r="181" spans="1:3" x14ac:dyDescent="0.45">
      <c r="A181" s="1" t="s">
        <v>227</v>
      </c>
      <c r="B181" s="2">
        <v>8904223818706</v>
      </c>
      <c r="C181" s="1" t="s">
        <v>446</v>
      </c>
    </row>
    <row r="182" spans="1:3" x14ac:dyDescent="0.45">
      <c r="A182" s="1" t="s">
        <v>227</v>
      </c>
      <c r="B182" s="2">
        <v>8904223819024</v>
      </c>
      <c r="C182" s="1" t="s">
        <v>452</v>
      </c>
    </row>
    <row r="183" spans="1:3" x14ac:dyDescent="0.45">
      <c r="A183" s="1" t="s">
        <v>227</v>
      </c>
      <c r="B183" s="2">
        <v>8904223818683</v>
      </c>
      <c r="C183" s="1" t="s">
        <v>448</v>
      </c>
    </row>
    <row r="184" spans="1:3" x14ac:dyDescent="0.45">
      <c r="A184" s="1" t="s">
        <v>227</v>
      </c>
      <c r="B184" s="2">
        <v>8904223818850</v>
      </c>
      <c r="C184" s="1" t="s">
        <v>446</v>
      </c>
    </row>
    <row r="185" spans="1:3" x14ac:dyDescent="0.45">
      <c r="A185" s="1" t="s">
        <v>434</v>
      </c>
      <c r="B185" s="2">
        <v>8904223818706</v>
      </c>
      <c r="C185" s="1" t="s">
        <v>446</v>
      </c>
    </row>
    <row r="186" spans="1:3" x14ac:dyDescent="0.45">
      <c r="A186" s="1" t="s">
        <v>434</v>
      </c>
      <c r="B186" s="2">
        <v>8904223818850</v>
      </c>
      <c r="C186" s="1" t="s">
        <v>446</v>
      </c>
    </row>
    <row r="187" spans="1:3" x14ac:dyDescent="0.45">
      <c r="A187" s="1" t="s">
        <v>434</v>
      </c>
      <c r="B187" s="2">
        <v>8904223819468</v>
      </c>
      <c r="C187" s="1" t="s">
        <v>446</v>
      </c>
    </row>
    <row r="188" spans="1:3" x14ac:dyDescent="0.45">
      <c r="A188" s="1" t="s">
        <v>401</v>
      </c>
      <c r="B188" s="2">
        <v>8904223818706</v>
      </c>
      <c r="C188" s="1" t="s">
        <v>446</v>
      </c>
    </row>
    <row r="189" spans="1:3" x14ac:dyDescent="0.45">
      <c r="A189" s="1" t="s">
        <v>401</v>
      </c>
      <c r="B189" s="2">
        <v>8904223818942</v>
      </c>
      <c r="C189" s="1" t="s">
        <v>446</v>
      </c>
    </row>
    <row r="190" spans="1:3" x14ac:dyDescent="0.45">
      <c r="A190" s="1" t="s">
        <v>401</v>
      </c>
      <c r="B190" s="2">
        <v>8904223818850</v>
      </c>
      <c r="C190" s="1" t="s">
        <v>446</v>
      </c>
    </row>
    <row r="191" spans="1:3" x14ac:dyDescent="0.45">
      <c r="A191" s="1" t="s">
        <v>398</v>
      </c>
      <c r="B191" s="2">
        <v>8904223818706</v>
      </c>
      <c r="C191" s="1" t="s">
        <v>446</v>
      </c>
    </row>
    <row r="192" spans="1:3" x14ac:dyDescent="0.45">
      <c r="A192" s="1" t="s">
        <v>398</v>
      </c>
      <c r="B192" s="2">
        <v>8904223818942</v>
      </c>
      <c r="C192" s="1" t="s">
        <v>446</v>
      </c>
    </row>
    <row r="193" spans="1:3" x14ac:dyDescent="0.45">
      <c r="A193" s="1" t="s">
        <v>398</v>
      </c>
      <c r="B193" s="2">
        <v>8904223818850</v>
      </c>
      <c r="C193" s="1" t="s">
        <v>446</v>
      </c>
    </row>
    <row r="194" spans="1:3" x14ac:dyDescent="0.45">
      <c r="A194" s="1" t="s">
        <v>395</v>
      </c>
      <c r="B194" s="2">
        <v>8904223818706</v>
      </c>
      <c r="C194" s="1" t="s">
        <v>446</v>
      </c>
    </row>
    <row r="195" spans="1:3" x14ac:dyDescent="0.45">
      <c r="A195" s="1" t="s">
        <v>395</v>
      </c>
      <c r="B195" s="2">
        <v>8904223818942</v>
      </c>
      <c r="C195" s="1" t="s">
        <v>446</v>
      </c>
    </row>
    <row r="196" spans="1:3" x14ac:dyDescent="0.45">
      <c r="A196" s="1" t="s">
        <v>395</v>
      </c>
      <c r="B196" s="2">
        <v>8904223818850</v>
      </c>
      <c r="C196" s="1" t="s">
        <v>446</v>
      </c>
    </row>
    <row r="197" spans="1:3" x14ac:dyDescent="0.45">
      <c r="A197" s="1" t="s">
        <v>393</v>
      </c>
      <c r="B197" s="2">
        <v>8904223818706</v>
      </c>
      <c r="C197" s="1" t="s">
        <v>446</v>
      </c>
    </row>
    <row r="198" spans="1:3" x14ac:dyDescent="0.45">
      <c r="A198" s="1" t="s">
        <v>393</v>
      </c>
      <c r="B198" s="2">
        <v>8904223818942</v>
      </c>
      <c r="C198" s="1" t="s">
        <v>446</v>
      </c>
    </row>
    <row r="199" spans="1:3" x14ac:dyDescent="0.45">
      <c r="A199" s="1" t="s">
        <v>393</v>
      </c>
      <c r="B199" s="2">
        <v>8904223818850</v>
      </c>
      <c r="C199" s="1" t="s">
        <v>446</v>
      </c>
    </row>
    <row r="200" spans="1:3" x14ac:dyDescent="0.45">
      <c r="A200" s="1" t="s">
        <v>389</v>
      </c>
      <c r="B200" s="2">
        <v>8904223819338</v>
      </c>
      <c r="C200" s="1" t="s">
        <v>446</v>
      </c>
    </row>
    <row r="201" spans="1:3" x14ac:dyDescent="0.45">
      <c r="A201" s="1" t="s">
        <v>253</v>
      </c>
      <c r="B201" s="2">
        <v>8904223817273</v>
      </c>
      <c r="C201" s="1" t="s">
        <v>448</v>
      </c>
    </row>
    <row r="202" spans="1:3" x14ac:dyDescent="0.45">
      <c r="A202" s="1" t="s">
        <v>253</v>
      </c>
      <c r="B202" s="2">
        <v>8904223815866</v>
      </c>
      <c r="C202" s="1" t="s">
        <v>448</v>
      </c>
    </row>
    <row r="203" spans="1:3" x14ac:dyDescent="0.45">
      <c r="A203" s="1" t="s">
        <v>253</v>
      </c>
      <c r="B203" s="2">
        <v>8904223815859</v>
      </c>
      <c r="C203" s="1" t="s">
        <v>446</v>
      </c>
    </row>
    <row r="204" spans="1:3" x14ac:dyDescent="0.45">
      <c r="A204" s="1" t="s">
        <v>253</v>
      </c>
      <c r="B204" s="2">
        <v>8904223815682</v>
      </c>
      <c r="C204" s="1" t="s">
        <v>446</v>
      </c>
    </row>
    <row r="205" spans="1:3" x14ac:dyDescent="0.45">
      <c r="A205" s="1" t="s">
        <v>385</v>
      </c>
      <c r="B205" s="2">
        <v>8904223816214</v>
      </c>
      <c r="C205" s="1" t="s">
        <v>446</v>
      </c>
    </row>
    <row r="206" spans="1:3" x14ac:dyDescent="0.45">
      <c r="A206" s="1" t="s">
        <v>385</v>
      </c>
      <c r="B206" s="2">
        <v>8904223818874</v>
      </c>
      <c r="C206" s="1" t="s">
        <v>446</v>
      </c>
    </row>
    <row r="207" spans="1:3" x14ac:dyDescent="0.45">
      <c r="A207" s="1" t="s">
        <v>382</v>
      </c>
      <c r="B207" s="2">
        <v>8904223818706</v>
      </c>
      <c r="C207" s="1" t="s">
        <v>446</v>
      </c>
    </row>
    <row r="208" spans="1:3" x14ac:dyDescent="0.45">
      <c r="A208" s="1" t="s">
        <v>382</v>
      </c>
      <c r="B208" s="2">
        <v>8904223818942</v>
      </c>
      <c r="C208" s="1" t="s">
        <v>446</v>
      </c>
    </row>
    <row r="209" spans="1:3" x14ac:dyDescent="0.45">
      <c r="A209" s="1" t="s">
        <v>382</v>
      </c>
      <c r="B209" s="2">
        <v>8904223818850</v>
      </c>
      <c r="C209" s="1" t="s">
        <v>446</v>
      </c>
    </row>
    <row r="210" spans="1:3" x14ac:dyDescent="0.45">
      <c r="A210" s="1" t="s">
        <v>96</v>
      </c>
      <c r="B210" s="2">
        <v>8904223818614</v>
      </c>
      <c r="C210" s="1" t="s">
        <v>446</v>
      </c>
    </row>
    <row r="211" spans="1:3" x14ac:dyDescent="0.45">
      <c r="A211" s="1" t="s">
        <v>96</v>
      </c>
      <c r="B211" s="2">
        <v>8904223815866</v>
      </c>
      <c r="C211" s="1" t="s">
        <v>446</v>
      </c>
    </row>
    <row r="212" spans="1:3" x14ac:dyDescent="0.45">
      <c r="A212" s="1" t="s">
        <v>96</v>
      </c>
      <c r="B212" s="2">
        <v>8904223815859</v>
      </c>
      <c r="C212" s="1" t="s">
        <v>446</v>
      </c>
    </row>
    <row r="213" spans="1:3" x14ac:dyDescent="0.45">
      <c r="A213" s="1" t="s">
        <v>96</v>
      </c>
      <c r="B213" s="2">
        <v>8904223817334</v>
      </c>
      <c r="C213" s="1" t="s">
        <v>446</v>
      </c>
    </row>
    <row r="214" spans="1:3" x14ac:dyDescent="0.45">
      <c r="A214" s="1" t="s">
        <v>96</v>
      </c>
      <c r="B214" s="1" t="s">
        <v>455</v>
      </c>
      <c r="C214" s="1" t="s">
        <v>446</v>
      </c>
    </row>
    <row r="215" spans="1:3" x14ac:dyDescent="0.45">
      <c r="A215" s="1" t="s">
        <v>96</v>
      </c>
      <c r="B215" s="2">
        <v>8904223819369</v>
      </c>
      <c r="C215" s="1" t="s">
        <v>446</v>
      </c>
    </row>
    <row r="216" spans="1:3" x14ac:dyDescent="0.45">
      <c r="A216" s="1" t="s">
        <v>379</v>
      </c>
      <c r="B216" s="2">
        <v>8904223818706</v>
      </c>
      <c r="C216" s="1" t="s">
        <v>446</v>
      </c>
    </row>
    <row r="217" spans="1:3" x14ac:dyDescent="0.45">
      <c r="A217" s="1" t="s">
        <v>379</v>
      </c>
      <c r="B217" s="2">
        <v>8904223818942</v>
      </c>
      <c r="C217" s="1" t="s">
        <v>446</v>
      </c>
    </row>
    <row r="218" spans="1:3" x14ac:dyDescent="0.45">
      <c r="A218" s="1" t="s">
        <v>379</v>
      </c>
      <c r="B218" s="2">
        <v>8904223818850</v>
      </c>
      <c r="C218" s="1" t="s">
        <v>446</v>
      </c>
    </row>
    <row r="219" spans="1:3" x14ac:dyDescent="0.45">
      <c r="A219" s="1" t="s">
        <v>92</v>
      </c>
      <c r="B219" s="2">
        <v>8904223819468</v>
      </c>
      <c r="C219" s="1" t="s">
        <v>448</v>
      </c>
    </row>
    <row r="220" spans="1:3" x14ac:dyDescent="0.45">
      <c r="A220" s="1" t="s">
        <v>92</v>
      </c>
      <c r="B220" s="2">
        <v>8904223818706</v>
      </c>
      <c r="C220" s="1" t="s">
        <v>448</v>
      </c>
    </row>
    <row r="221" spans="1:3" x14ac:dyDescent="0.45">
      <c r="A221" s="1" t="s">
        <v>89</v>
      </c>
      <c r="B221" s="2">
        <v>8904223818706</v>
      </c>
      <c r="C221" s="1" t="s">
        <v>446</v>
      </c>
    </row>
    <row r="222" spans="1:3" x14ac:dyDescent="0.45">
      <c r="A222" s="1" t="s">
        <v>89</v>
      </c>
      <c r="B222" s="2">
        <v>8904223818850</v>
      </c>
      <c r="C222" s="1" t="s">
        <v>446</v>
      </c>
    </row>
    <row r="223" spans="1:3" x14ac:dyDescent="0.45">
      <c r="A223" s="1" t="s">
        <v>89</v>
      </c>
      <c r="B223" s="2">
        <v>8904223819468</v>
      </c>
      <c r="C223" s="1" t="s">
        <v>446</v>
      </c>
    </row>
    <row r="224" spans="1:3" x14ac:dyDescent="0.45">
      <c r="A224" s="1" t="s">
        <v>377</v>
      </c>
      <c r="B224" s="2">
        <v>8904223818706</v>
      </c>
      <c r="C224" s="1" t="s">
        <v>446</v>
      </c>
    </row>
    <row r="225" spans="1:3" x14ac:dyDescent="0.45">
      <c r="A225" s="1" t="s">
        <v>377</v>
      </c>
      <c r="B225" s="2">
        <v>8904223818942</v>
      </c>
      <c r="C225" s="1" t="s">
        <v>446</v>
      </c>
    </row>
    <row r="226" spans="1:3" x14ac:dyDescent="0.45">
      <c r="A226" s="1" t="s">
        <v>377</v>
      </c>
      <c r="B226" s="2">
        <v>8904223818850</v>
      </c>
      <c r="C226" s="1" t="s">
        <v>446</v>
      </c>
    </row>
    <row r="227" spans="1:3" x14ac:dyDescent="0.45">
      <c r="A227" s="1" t="s">
        <v>82</v>
      </c>
      <c r="B227" s="2">
        <v>8904223819161</v>
      </c>
      <c r="C227" s="1" t="s">
        <v>446</v>
      </c>
    </row>
    <row r="228" spans="1:3" x14ac:dyDescent="0.45">
      <c r="A228" s="1" t="s">
        <v>82</v>
      </c>
      <c r="B228" s="2">
        <v>8904223819260</v>
      </c>
      <c r="C228" s="1" t="s">
        <v>446</v>
      </c>
    </row>
    <row r="229" spans="1:3" x14ac:dyDescent="0.45">
      <c r="A229" s="1" t="s">
        <v>249</v>
      </c>
      <c r="B229" s="2">
        <v>8904223818683</v>
      </c>
      <c r="C229" s="1" t="s">
        <v>446</v>
      </c>
    </row>
    <row r="230" spans="1:3" x14ac:dyDescent="0.45">
      <c r="A230" s="1" t="s">
        <v>249</v>
      </c>
      <c r="B230" s="2">
        <v>8904223819468</v>
      </c>
      <c r="C230" s="1" t="s">
        <v>446</v>
      </c>
    </row>
    <row r="231" spans="1:3" x14ac:dyDescent="0.45">
      <c r="A231" s="1" t="s">
        <v>249</v>
      </c>
      <c r="B231" s="2">
        <v>8904223818850</v>
      </c>
      <c r="C231" s="1" t="s">
        <v>446</v>
      </c>
    </row>
    <row r="232" spans="1:3" x14ac:dyDescent="0.45">
      <c r="A232" s="1" t="s">
        <v>79</v>
      </c>
      <c r="B232" s="2">
        <v>8904223818706</v>
      </c>
      <c r="C232" s="1" t="s">
        <v>446</v>
      </c>
    </row>
    <row r="233" spans="1:3" x14ac:dyDescent="0.45">
      <c r="A233" s="1" t="s">
        <v>79</v>
      </c>
      <c r="B233" s="2">
        <v>8904223818850</v>
      </c>
      <c r="C233" s="1" t="s">
        <v>446</v>
      </c>
    </row>
    <row r="234" spans="1:3" x14ac:dyDescent="0.45">
      <c r="A234" s="1" t="s">
        <v>79</v>
      </c>
      <c r="B234" s="2">
        <v>8904223819468</v>
      </c>
      <c r="C234" s="1" t="s">
        <v>446</v>
      </c>
    </row>
    <row r="235" spans="1:3" x14ac:dyDescent="0.45">
      <c r="A235" s="1" t="s">
        <v>76</v>
      </c>
      <c r="B235" s="2">
        <v>8904223815859</v>
      </c>
      <c r="C235" s="1" t="s">
        <v>446</v>
      </c>
    </row>
    <row r="236" spans="1:3" x14ac:dyDescent="0.45">
      <c r="A236" s="1" t="s">
        <v>76</v>
      </c>
      <c r="B236" s="2">
        <v>8904223817273</v>
      </c>
      <c r="C236" s="1" t="s">
        <v>446</v>
      </c>
    </row>
    <row r="237" spans="1:3" x14ac:dyDescent="0.45">
      <c r="A237" s="1" t="s">
        <v>76</v>
      </c>
      <c r="B237" s="2">
        <v>8904223818751</v>
      </c>
      <c r="C237" s="1" t="s">
        <v>446</v>
      </c>
    </row>
    <row r="238" spans="1:3" x14ac:dyDescent="0.45">
      <c r="A238" s="1" t="s">
        <v>72</v>
      </c>
      <c r="B238" s="2">
        <v>8904223819291</v>
      </c>
      <c r="C238" s="1" t="s">
        <v>448</v>
      </c>
    </row>
    <row r="239" spans="1:3" x14ac:dyDescent="0.45">
      <c r="A239" s="1" t="s">
        <v>72</v>
      </c>
      <c r="B239" s="2">
        <v>8904223819031</v>
      </c>
      <c r="C239" s="1" t="s">
        <v>448</v>
      </c>
    </row>
    <row r="240" spans="1:3" x14ac:dyDescent="0.45">
      <c r="A240" s="1" t="s">
        <v>72</v>
      </c>
      <c r="B240" s="2">
        <v>8904223819024</v>
      </c>
      <c r="C240" s="1" t="s">
        <v>448</v>
      </c>
    </row>
    <row r="241" spans="1:3" x14ac:dyDescent="0.45">
      <c r="A241" s="1" t="s">
        <v>72</v>
      </c>
      <c r="B241" s="2">
        <v>8904223819161</v>
      </c>
      <c r="C241" s="1" t="s">
        <v>446</v>
      </c>
    </row>
    <row r="242" spans="1:3" x14ac:dyDescent="0.45">
      <c r="A242" s="1" t="s">
        <v>72</v>
      </c>
      <c r="B242" s="2">
        <v>8904223819260</v>
      </c>
      <c r="C242" s="1" t="s">
        <v>446</v>
      </c>
    </row>
    <row r="243" spans="1:3" x14ac:dyDescent="0.45">
      <c r="A243" s="1" t="s">
        <v>72</v>
      </c>
      <c r="B243" s="2">
        <v>8904223819468</v>
      </c>
      <c r="C243" s="1" t="s">
        <v>446</v>
      </c>
    </row>
    <row r="244" spans="1:3" x14ac:dyDescent="0.45">
      <c r="A244" s="1" t="s">
        <v>246</v>
      </c>
      <c r="B244" s="2">
        <v>8904223818706</v>
      </c>
      <c r="C244" s="1" t="s">
        <v>446</v>
      </c>
    </row>
    <row r="245" spans="1:3" x14ac:dyDescent="0.45">
      <c r="A245" s="1" t="s">
        <v>246</v>
      </c>
      <c r="B245" s="2">
        <v>8904223818942</v>
      </c>
      <c r="C245" s="1" t="s">
        <v>446</v>
      </c>
    </row>
    <row r="246" spans="1:3" x14ac:dyDescent="0.45">
      <c r="A246" s="1" t="s">
        <v>246</v>
      </c>
      <c r="B246" s="2">
        <v>8904223818850</v>
      </c>
      <c r="C246" s="1" t="s">
        <v>446</v>
      </c>
    </row>
    <row r="247" spans="1:3" x14ac:dyDescent="0.45">
      <c r="A247" s="1" t="s">
        <v>100</v>
      </c>
      <c r="B247" s="2">
        <v>8904223819468</v>
      </c>
      <c r="C247" s="1" t="s">
        <v>446</v>
      </c>
    </row>
    <row r="248" spans="1:3" x14ac:dyDescent="0.45">
      <c r="A248" s="1" t="s">
        <v>100</v>
      </c>
      <c r="B248" s="2">
        <v>8904223818669</v>
      </c>
      <c r="C248" s="1" t="s">
        <v>446</v>
      </c>
    </row>
    <row r="249" spans="1:3" x14ac:dyDescent="0.45">
      <c r="A249" s="1" t="s">
        <v>100</v>
      </c>
      <c r="B249" s="2">
        <v>8904223818683</v>
      </c>
      <c r="C249" s="1" t="s">
        <v>446</v>
      </c>
    </row>
    <row r="250" spans="1:3" x14ac:dyDescent="0.45">
      <c r="A250" s="1" t="s">
        <v>100</v>
      </c>
      <c r="B250" s="2">
        <v>8904223818713</v>
      </c>
      <c r="C250" s="1" t="s">
        <v>446</v>
      </c>
    </row>
    <row r="251" spans="1:3" x14ac:dyDescent="0.45">
      <c r="A251" s="1" t="s">
        <v>364</v>
      </c>
      <c r="B251" s="2">
        <v>8904223819321</v>
      </c>
      <c r="C251" s="1" t="s">
        <v>446</v>
      </c>
    </row>
    <row r="252" spans="1:3" x14ac:dyDescent="0.45">
      <c r="A252" s="1" t="s">
        <v>364</v>
      </c>
      <c r="B252" s="2">
        <v>8904223818430</v>
      </c>
      <c r="C252" s="1" t="s">
        <v>446</v>
      </c>
    </row>
    <row r="253" spans="1:3" x14ac:dyDescent="0.45">
      <c r="A253" s="1" t="s">
        <v>66</v>
      </c>
      <c r="B253" s="2">
        <v>8904223818669</v>
      </c>
      <c r="C253" s="1" t="s">
        <v>446</v>
      </c>
    </row>
    <row r="254" spans="1:3" x14ac:dyDescent="0.45">
      <c r="A254" s="1" t="s">
        <v>66</v>
      </c>
      <c r="B254" s="2">
        <v>8904223819147</v>
      </c>
      <c r="C254" s="1" t="s">
        <v>446</v>
      </c>
    </row>
    <row r="255" spans="1:3" x14ac:dyDescent="0.45">
      <c r="A255" s="1" t="s">
        <v>66</v>
      </c>
      <c r="B255" s="2">
        <v>8904223818850</v>
      </c>
      <c r="C255" s="1" t="s">
        <v>446</v>
      </c>
    </row>
    <row r="256" spans="1:3" x14ac:dyDescent="0.45">
      <c r="A256" s="1" t="s">
        <v>66</v>
      </c>
      <c r="B256" s="2">
        <v>8904223819505</v>
      </c>
      <c r="C256" s="1" t="s">
        <v>446</v>
      </c>
    </row>
    <row r="257" spans="1:3" x14ac:dyDescent="0.45">
      <c r="A257" s="1" t="s">
        <v>62</v>
      </c>
      <c r="B257" s="2">
        <v>8904223818706</v>
      </c>
      <c r="C257" s="1" t="s">
        <v>446</v>
      </c>
    </row>
    <row r="258" spans="1:3" x14ac:dyDescent="0.45">
      <c r="A258" s="1" t="s">
        <v>62</v>
      </c>
      <c r="B258" s="2">
        <v>8904223818942</v>
      </c>
      <c r="C258" s="1" t="s">
        <v>446</v>
      </c>
    </row>
    <row r="259" spans="1:3" x14ac:dyDescent="0.45">
      <c r="A259" s="1" t="s">
        <v>62</v>
      </c>
      <c r="B259" s="2">
        <v>8904223818850</v>
      </c>
      <c r="C259" s="1" t="s">
        <v>446</v>
      </c>
    </row>
    <row r="260" spans="1:3" x14ac:dyDescent="0.45">
      <c r="A260" s="1" t="s">
        <v>62</v>
      </c>
      <c r="B260" s="2">
        <v>8904223819246</v>
      </c>
      <c r="C260" s="1" t="s">
        <v>448</v>
      </c>
    </row>
    <row r="261" spans="1:3" x14ac:dyDescent="0.45">
      <c r="A261" s="1" t="s">
        <v>58</v>
      </c>
      <c r="B261" s="2">
        <v>8904223818706</v>
      </c>
      <c r="C261" s="1" t="s">
        <v>446</v>
      </c>
    </row>
    <row r="262" spans="1:3" x14ac:dyDescent="0.45">
      <c r="A262" s="1" t="s">
        <v>58</v>
      </c>
      <c r="B262" s="2">
        <v>8904223818850</v>
      </c>
      <c r="C262" s="1" t="s">
        <v>446</v>
      </c>
    </row>
    <row r="263" spans="1:3" x14ac:dyDescent="0.45">
      <c r="A263" s="1" t="s">
        <v>58</v>
      </c>
      <c r="B263" s="2">
        <v>8904223819468</v>
      </c>
      <c r="C263" s="1" t="s">
        <v>446</v>
      </c>
    </row>
    <row r="264" spans="1:3" x14ac:dyDescent="0.45">
      <c r="A264" s="1" t="s">
        <v>69</v>
      </c>
      <c r="B264" s="2">
        <v>8904223819468</v>
      </c>
      <c r="C264" s="1" t="s">
        <v>446</v>
      </c>
    </row>
    <row r="265" spans="1:3" x14ac:dyDescent="0.45">
      <c r="A265" s="1" t="s">
        <v>360</v>
      </c>
      <c r="B265" s="2">
        <v>8904223818706</v>
      </c>
      <c r="C265" s="1" t="s">
        <v>446</v>
      </c>
    </row>
    <row r="266" spans="1:3" x14ac:dyDescent="0.45">
      <c r="A266" s="1" t="s">
        <v>360</v>
      </c>
      <c r="B266" s="2">
        <v>8904223818942</v>
      </c>
      <c r="C266" s="1" t="s">
        <v>446</v>
      </c>
    </row>
    <row r="267" spans="1:3" x14ac:dyDescent="0.45">
      <c r="A267" s="1" t="s">
        <v>360</v>
      </c>
      <c r="B267" s="2">
        <v>8904223818850</v>
      </c>
      <c r="C267" s="1" t="s">
        <v>446</v>
      </c>
    </row>
    <row r="268" spans="1:3" x14ac:dyDescent="0.45">
      <c r="A268" s="1" t="s">
        <v>54</v>
      </c>
      <c r="B268" s="2">
        <v>8904223818706</v>
      </c>
      <c r="C268" s="1" t="s">
        <v>446</v>
      </c>
    </row>
    <row r="269" spans="1:3" x14ac:dyDescent="0.45">
      <c r="A269" s="1" t="s">
        <v>54</v>
      </c>
      <c r="B269" s="2">
        <v>8904223818850</v>
      </c>
      <c r="C269" s="1" t="s">
        <v>446</v>
      </c>
    </row>
    <row r="270" spans="1:3" x14ac:dyDescent="0.45">
      <c r="A270" s="1" t="s">
        <v>54</v>
      </c>
      <c r="B270" s="2">
        <v>8904223819468</v>
      </c>
      <c r="C270" s="1" t="s">
        <v>446</v>
      </c>
    </row>
    <row r="271" spans="1:3" x14ac:dyDescent="0.45">
      <c r="A271" s="1" t="s">
        <v>357</v>
      </c>
      <c r="B271" s="2">
        <v>8904223818706</v>
      </c>
      <c r="C271" s="1" t="s">
        <v>446</v>
      </c>
    </row>
    <row r="272" spans="1:3" x14ac:dyDescent="0.45">
      <c r="A272" s="1" t="s">
        <v>357</v>
      </c>
      <c r="B272" s="2">
        <v>8904223818942</v>
      </c>
      <c r="C272" s="1" t="s">
        <v>446</v>
      </c>
    </row>
    <row r="273" spans="1:3" x14ac:dyDescent="0.45">
      <c r="A273" s="1" t="s">
        <v>357</v>
      </c>
      <c r="B273" s="2">
        <v>8904223818850</v>
      </c>
      <c r="C273" s="1" t="s">
        <v>446</v>
      </c>
    </row>
    <row r="274" spans="1:3" x14ac:dyDescent="0.45">
      <c r="A274" s="1" t="s">
        <v>373</v>
      </c>
      <c r="B274" s="2">
        <v>8904223819147</v>
      </c>
      <c r="C274" s="1" t="s">
        <v>446</v>
      </c>
    </row>
    <row r="275" spans="1:3" x14ac:dyDescent="0.45">
      <c r="A275" s="1" t="s">
        <v>373</v>
      </c>
      <c r="B275" s="2">
        <v>8904223819468</v>
      </c>
      <c r="C275" s="1" t="s">
        <v>446</v>
      </c>
    </row>
    <row r="276" spans="1:3" x14ac:dyDescent="0.45">
      <c r="A276" s="1" t="s">
        <v>373</v>
      </c>
      <c r="B276" s="2">
        <v>8904223819277</v>
      </c>
      <c r="C276" s="1" t="s">
        <v>446</v>
      </c>
    </row>
    <row r="277" spans="1:3" x14ac:dyDescent="0.45">
      <c r="A277" s="1" t="s">
        <v>224</v>
      </c>
      <c r="B277" s="2">
        <v>8904223818850</v>
      </c>
      <c r="C277" s="1" t="s">
        <v>448</v>
      </c>
    </row>
    <row r="278" spans="1:3" x14ac:dyDescent="0.45">
      <c r="A278" s="1" t="s">
        <v>224</v>
      </c>
      <c r="B278" s="2">
        <v>8904223818713</v>
      </c>
      <c r="C278" s="1" t="s">
        <v>446</v>
      </c>
    </row>
    <row r="279" spans="1:3" x14ac:dyDescent="0.45">
      <c r="A279" s="1" t="s">
        <v>224</v>
      </c>
      <c r="B279" s="2">
        <v>8904223819024</v>
      </c>
      <c r="C279" s="1" t="s">
        <v>450</v>
      </c>
    </row>
    <row r="280" spans="1:3" x14ac:dyDescent="0.45">
      <c r="A280" s="1" t="s">
        <v>220</v>
      </c>
      <c r="B280" s="2">
        <v>8904223819031</v>
      </c>
      <c r="C280" s="1" t="s">
        <v>456</v>
      </c>
    </row>
    <row r="281" spans="1:3" x14ac:dyDescent="0.45">
      <c r="A281" s="1" t="s">
        <v>220</v>
      </c>
      <c r="B281" s="2">
        <v>8904223819024</v>
      </c>
      <c r="C281" s="1" t="s">
        <v>456</v>
      </c>
    </row>
    <row r="282" spans="1:3" x14ac:dyDescent="0.45">
      <c r="A282" s="1" t="s">
        <v>220</v>
      </c>
      <c r="B282" s="2">
        <v>8904223819291</v>
      </c>
      <c r="C282" s="1" t="s">
        <v>448</v>
      </c>
    </row>
    <row r="283" spans="1:3" x14ac:dyDescent="0.45">
      <c r="A283" s="1" t="s">
        <v>220</v>
      </c>
      <c r="B283" s="2">
        <v>8904223819031</v>
      </c>
      <c r="C283" s="1" t="s">
        <v>448</v>
      </c>
    </row>
    <row r="284" spans="1:3" x14ac:dyDescent="0.45">
      <c r="A284" s="1" t="s">
        <v>220</v>
      </c>
      <c r="B284" s="2">
        <v>8904223819024</v>
      </c>
      <c r="C284" s="1" t="s">
        <v>448</v>
      </c>
    </row>
    <row r="285" spans="1:3" x14ac:dyDescent="0.45">
      <c r="A285" s="1" t="s">
        <v>369</v>
      </c>
      <c r="B285" s="2">
        <v>8904223818706</v>
      </c>
      <c r="C285" s="1" t="s">
        <v>446</v>
      </c>
    </row>
    <row r="286" spans="1:3" x14ac:dyDescent="0.45">
      <c r="A286" s="1" t="s">
        <v>369</v>
      </c>
      <c r="B286" s="2">
        <v>8904223818942</v>
      </c>
      <c r="C286" s="1" t="s">
        <v>446</v>
      </c>
    </row>
    <row r="287" spans="1:3" x14ac:dyDescent="0.45">
      <c r="A287" s="1" t="s">
        <v>369</v>
      </c>
      <c r="B287" s="2">
        <v>8904223818850</v>
      </c>
      <c r="C287" s="1" t="s">
        <v>446</v>
      </c>
    </row>
    <row r="288" spans="1:3" x14ac:dyDescent="0.45">
      <c r="A288" s="1" t="s">
        <v>353</v>
      </c>
      <c r="B288" s="2">
        <v>8904223818997</v>
      </c>
      <c r="C288" s="1" t="s">
        <v>446</v>
      </c>
    </row>
    <row r="289" spans="1:3" x14ac:dyDescent="0.45">
      <c r="A289" s="1" t="s">
        <v>51</v>
      </c>
      <c r="B289" s="2">
        <v>8904223818706</v>
      </c>
      <c r="C289" s="1" t="s">
        <v>446</v>
      </c>
    </row>
    <row r="290" spans="1:3" x14ac:dyDescent="0.45">
      <c r="A290" s="1" t="s">
        <v>51</v>
      </c>
      <c r="B290" s="2">
        <v>8904223818942</v>
      </c>
      <c r="C290" s="1" t="s">
        <v>446</v>
      </c>
    </row>
    <row r="291" spans="1:3" x14ac:dyDescent="0.45">
      <c r="A291" s="1" t="s">
        <v>51</v>
      </c>
      <c r="B291" s="2">
        <v>8904223818850</v>
      </c>
      <c r="C291" s="1" t="s">
        <v>446</v>
      </c>
    </row>
    <row r="292" spans="1:3" x14ac:dyDescent="0.45">
      <c r="A292" s="1" t="s">
        <v>243</v>
      </c>
      <c r="B292" s="2">
        <v>8904223818706</v>
      </c>
      <c r="C292" s="1" t="s">
        <v>446</v>
      </c>
    </row>
    <row r="293" spans="1:3" x14ac:dyDescent="0.45">
      <c r="A293" s="1" t="s">
        <v>243</v>
      </c>
      <c r="B293" s="2">
        <v>8904223818850</v>
      </c>
      <c r="C293" s="1" t="s">
        <v>446</v>
      </c>
    </row>
    <row r="294" spans="1:3" x14ac:dyDescent="0.45">
      <c r="A294" s="1" t="s">
        <v>243</v>
      </c>
      <c r="B294" s="2">
        <v>8904223819468</v>
      </c>
      <c r="C294" s="1" t="s">
        <v>446</v>
      </c>
    </row>
    <row r="295" spans="1:3" x14ac:dyDescent="0.45">
      <c r="A295" s="1" t="s">
        <v>47</v>
      </c>
      <c r="B295" s="2">
        <v>8904223818706</v>
      </c>
      <c r="C295" s="1" t="s">
        <v>446</v>
      </c>
    </row>
    <row r="296" spans="1:3" x14ac:dyDescent="0.45">
      <c r="A296" s="1" t="s">
        <v>47</v>
      </c>
      <c r="B296" s="2">
        <v>8904223818942</v>
      </c>
      <c r="C296" s="1" t="s">
        <v>446</v>
      </c>
    </row>
    <row r="297" spans="1:3" x14ac:dyDescent="0.45">
      <c r="A297" s="1" t="s">
        <v>47</v>
      </c>
      <c r="B297" s="2">
        <v>8904223818850</v>
      </c>
      <c r="C297" s="1" t="s">
        <v>446</v>
      </c>
    </row>
    <row r="298" spans="1:3" x14ac:dyDescent="0.45">
      <c r="A298" s="1" t="s">
        <v>216</v>
      </c>
      <c r="B298" s="2">
        <v>8904223818706</v>
      </c>
      <c r="C298" s="1" t="s">
        <v>446</v>
      </c>
    </row>
    <row r="299" spans="1:3" x14ac:dyDescent="0.45">
      <c r="A299" s="1" t="s">
        <v>216</v>
      </c>
      <c r="B299" s="2">
        <v>8904223818942</v>
      </c>
      <c r="C299" s="1" t="s">
        <v>446</v>
      </c>
    </row>
    <row r="300" spans="1:3" x14ac:dyDescent="0.45">
      <c r="A300" s="1" t="s">
        <v>216</v>
      </c>
      <c r="B300" s="2">
        <v>8904223818850</v>
      </c>
      <c r="C300" s="1" t="s">
        <v>446</v>
      </c>
    </row>
    <row r="301" spans="1:3" x14ac:dyDescent="0.45">
      <c r="A301" s="1" t="s">
        <v>42</v>
      </c>
      <c r="B301" s="2">
        <v>8904223819239</v>
      </c>
      <c r="C301" s="1" t="s">
        <v>446</v>
      </c>
    </row>
    <row r="302" spans="1:3" x14ac:dyDescent="0.45">
      <c r="A302" s="1" t="s">
        <v>42</v>
      </c>
      <c r="B302" s="2">
        <v>8904223819246</v>
      </c>
      <c r="C302" s="1" t="s">
        <v>446</v>
      </c>
    </row>
    <row r="303" spans="1:3" x14ac:dyDescent="0.45">
      <c r="A303" s="1" t="s">
        <v>42</v>
      </c>
      <c r="B303" s="2">
        <v>8904223819253</v>
      </c>
      <c r="C303" s="1" t="s">
        <v>446</v>
      </c>
    </row>
    <row r="304" spans="1:3" x14ac:dyDescent="0.45">
      <c r="A304" s="1" t="s">
        <v>42</v>
      </c>
      <c r="B304" s="2">
        <v>8904223818713</v>
      </c>
      <c r="C304" s="1" t="s">
        <v>446</v>
      </c>
    </row>
    <row r="305" spans="1:3" x14ac:dyDescent="0.45">
      <c r="A305" s="1" t="s">
        <v>42</v>
      </c>
      <c r="B305" s="2">
        <v>8904223817273</v>
      </c>
      <c r="C305" s="1" t="s">
        <v>446</v>
      </c>
    </row>
    <row r="306" spans="1:3" x14ac:dyDescent="0.45">
      <c r="A306" s="1" t="s">
        <v>42</v>
      </c>
      <c r="B306" s="2">
        <v>8904223818751</v>
      </c>
      <c r="C306" s="1" t="s">
        <v>446</v>
      </c>
    </row>
    <row r="307" spans="1:3" x14ac:dyDescent="0.45">
      <c r="A307" s="1" t="s">
        <v>211</v>
      </c>
      <c r="B307" s="2">
        <v>8904223819291</v>
      </c>
      <c r="C307" s="1" t="s">
        <v>450</v>
      </c>
    </row>
    <row r="308" spans="1:3" x14ac:dyDescent="0.45">
      <c r="A308" s="1" t="s">
        <v>211</v>
      </c>
      <c r="B308" s="2">
        <v>8904223819031</v>
      </c>
      <c r="C308" s="1" t="s">
        <v>450</v>
      </c>
    </row>
    <row r="309" spans="1:3" x14ac:dyDescent="0.45">
      <c r="A309" s="1" t="s">
        <v>211</v>
      </c>
      <c r="B309" s="2">
        <v>8904223819024</v>
      </c>
      <c r="C309" s="1" t="s">
        <v>450</v>
      </c>
    </row>
    <row r="310" spans="1:3" x14ac:dyDescent="0.45">
      <c r="A310" s="1" t="s">
        <v>211</v>
      </c>
      <c r="B310" s="2">
        <v>8904223819017</v>
      </c>
      <c r="C310" s="1" t="s">
        <v>446</v>
      </c>
    </row>
    <row r="311" spans="1:3" x14ac:dyDescent="0.45">
      <c r="A311" s="1" t="s">
        <v>31</v>
      </c>
      <c r="B311" s="2">
        <v>8904223819468</v>
      </c>
      <c r="C311" s="1" t="s">
        <v>446</v>
      </c>
    </row>
    <row r="312" spans="1:3" x14ac:dyDescent="0.45">
      <c r="A312" s="1" t="s">
        <v>208</v>
      </c>
      <c r="B312" s="2">
        <v>8904223818706</v>
      </c>
      <c r="C312" s="1" t="s">
        <v>446</v>
      </c>
    </row>
    <row r="313" spans="1:3" x14ac:dyDescent="0.45">
      <c r="A313" s="1" t="s">
        <v>208</v>
      </c>
      <c r="B313" s="2">
        <v>8904223818942</v>
      </c>
      <c r="C313" s="1" t="s">
        <v>446</v>
      </c>
    </row>
    <row r="314" spans="1:3" x14ac:dyDescent="0.45">
      <c r="A314" s="1" t="s">
        <v>208</v>
      </c>
      <c r="B314" s="2">
        <v>8904223818850</v>
      </c>
      <c r="C314" s="1" t="s">
        <v>446</v>
      </c>
    </row>
    <row r="315" spans="1:3" x14ac:dyDescent="0.45">
      <c r="A315" s="1" t="s">
        <v>350</v>
      </c>
      <c r="B315" s="2">
        <v>8904223818706</v>
      </c>
      <c r="C315" s="1" t="s">
        <v>446</v>
      </c>
    </row>
    <row r="316" spans="1:3" x14ac:dyDescent="0.45">
      <c r="A316" s="1" t="s">
        <v>350</v>
      </c>
      <c r="B316" s="2">
        <v>8904223818942</v>
      </c>
      <c r="C316" s="1" t="s">
        <v>446</v>
      </c>
    </row>
    <row r="317" spans="1:3" x14ac:dyDescent="0.45">
      <c r="A317" s="1" t="s">
        <v>350</v>
      </c>
      <c r="B317" s="2">
        <v>8904223818850</v>
      </c>
      <c r="C317" s="1" t="s">
        <v>446</v>
      </c>
    </row>
    <row r="318" spans="1:3" x14ac:dyDescent="0.45">
      <c r="A318" s="1" t="s">
        <v>39</v>
      </c>
      <c r="B318" s="2">
        <v>8904223819499</v>
      </c>
      <c r="C318" s="1" t="s">
        <v>448</v>
      </c>
    </row>
    <row r="319" spans="1:3" x14ac:dyDescent="0.45">
      <c r="A319" s="1" t="s">
        <v>39</v>
      </c>
      <c r="B319" s="2">
        <v>8904223819499</v>
      </c>
      <c r="C319" s="1" t="s">
        <v>448</v>
      </c>
    </row>
    <row r="320" spans="1:3" x14ac:dyDescent="0.45">
      <c r="A320" s="1" t="s">
        <v>347</v>
      </c>
      <c r="B320" s="2">
        <v>8904223818706</v>
      </c>
      <c r="C320" s="1" t="s">
        <v>446</v>
      </c>
    </row>
    <row r="321" spans="1:3" x14ac:dyDescent="0.45">
      <c r="A321" s="1" t="s">
        <v>347</v>
      </c>
      <c r="B321" s="2">
        <v>8904223818942</v>
      </c>
      <c r="C321" s="1" t="s">
        <v>446</v>
      </c>
    </row>
    <row r="322" spans="1:3" x14ac:dyDescent="0.45">
      <c r="A322" s="1" t="s">
        <v>347</v>
      </c>
      <c r="B322" s="2">
        <v>8904223818850</v>
      </c>
      <c r="C322" s="1" t="s">
        <v>446</v>
      </c>
    </row>
    <row r="323" spans="1:3" x14ac:dyDescent="0.45">
      <c r="A323" s="1" t="s">
        <v>344</v>
      </c>
      <c r="B323" s="2">
        <v>8904223818706</v>
      </c>
      <c r="C323" s="1" t="s">
        <v>446</v>
      </c>
    </row>
    <row r="324" spans="1:3" x14ac:dyDescent="0.45">
      <c r="A324" s="1" t="s">
        <v>205</v>
      </c>
      <c r="B324" s="2">
        <v>8904223818850</v>
      </c>
      <c r="C324" s="1" t="s">
        <v>446</v>
      </c>
    </row>
    <row r="325" spans="1:3" x14ac:dyDescent="0.45">
      <c r="A325" s="1" t="s">
        <v>205</v>
      </c>
      <c r="B325" s="2">
        <v>8904223818683</v>
      </c>
      <c r="C325" s="1" t="s">
        <v>446</v>
      </c>
    </row>
    <row r="326" spans="1:3" x14ac:dyDescent="0.45">
      <c r="A326" s="1" t="s">
        <v>201</v>
      </c>
      <c r="B326" s="2">
        <v>8904223818706</v>
      </c>
      <c r="C326" s="1" t="s">
        <v>446</v>
      </c>
    </row>
    <row r="327" spans="1:3" x14ac:dyDescent="0.45">
      <c r="A327" s="1" t="s">
        <v>201</v>
      </c>
      <c r="B327" s="2">
        <v>8904223818638</v>
      </c>
      <c r="C327" s="1" t="s">
        <v>448</v>
      </c>
    </row>
    <row r="328" spans="1:3" x14ac:dyDescent="0.45">
      <c r="A328" s="1" t="s">
        <v>201</v>
      </c>
      <c r="B328" s="2">
        <v>8904223819505</v>
      </c>
      <c r="C328" s="1" t="s">
        <v>446</v>
      </c>
    </row>
    <row r="329" spans="1:3" x14ac:dyDescent="0.45">
      <c r="A329" s="1" t="s">
        <v>340</v>
      </c>
      <c r="B329" s="2">
        <v>8904223819512</v>
      </c>
      <c r="C329" s="1" t="s">
        <v>450</v>
      </c>
    </row>
    <row r="330" spans="1:3" x14ac:dyDescent="0.45">
      <c r="A330" s="1" t="s">
        <v>195</v>
      </c>
      <c r="B330" s="2">
        <v>8904223818706</v>
      </c>
      <c r="C330" s="1" t="s">
        <v>446</v>
      </c>
    </row>
    <row r="331" spans="1:3" x14ac:dyDescent="0.45">
      <c r="A331" s="1" t="s">
        <v>195</v>
      </c>
      <c r="B331" s="2">
        <v>8904223818942</v>
      </c>
      <c r="C331" s="1" t="s">
        <v>446</v>
      </c>
    </row>
    <row r="332" spans="1:3" x14ac:dyDescent="0.45">
      <c r="A332" s="1" t="s">
        <v>195</v>
      </c>
      <c r="B332" s="2">
        <v>8904223818850</v>
      </c>
      <c r="C332" s="1" t="s">
        <v>446</v>
      </c>
    </row>
    <row r="333" spans="1:3" x14ac:dyDescent="0.45">
      <c r="A333" s="1" t="s">
        <v>192</v>
      </c>
      <c r="B333" s="2">
        <v>8904223819031</v>
      </c>
      <c r="C333" s="1" t="s">
        <v>446</v>
      </c>
    </row>
    <row r="334" spans="1:3" x14ac:dyDescent="0.45">
      <c r="A334" s="1" t="s">
        <v>192</v>
      </c>
      <c r="B334" s="2">
        <v>8904223818430</v>
      </c>
      <c r="C334" s="1" t="s">
        <v>446</v>
      </c>
    </row>
    <row r="335" spans="1:3" x14ac:dyDescent="0.45">
      <c r="A335" s="1" t="s">
        <v>192</v>
      </c>
      <c r="B335" s="2">
        <v>8904223818850</v>
      </c>
      <c r="C335" s="1" t="s">
        <v>446</v>
      </c>
    </row>
    <row r="336" spans="1:3" x14ac:dyDescent="0.45">
      <c r="A336" s="1" t="s">
        <v>192</v>
      </c>
      <c r="B336" s="2">
        <v>8904223819512</v>
      </c>
      <c r="C336" s="1" t="s">
        <v>446</v>
      </c>
    </row>
    <row r="337" spans="1:3" x14ac:dyDescent="0.45">
      <c r="A337" s="1" t="s">
        <v>192</v>
      </c>
      <c r="B337" s="2">
        <v>8904223819468</v>
      </c>
      <c r="C337" s="1" t="s">
        <v>446</v>
      </c>
    </row>
    <row r="338" spans="1:3" x14ac:dyDescent="0.45">
      <c r="A338" s="1" t="s">
        <v>198</v>
      </c>
      <c r="B338" s="2">
        <v>8904223818706</v>
      </c>
      <c r="C338" s="1" t="s">
        <v>446</v>
      </c>
    </row>
    <row r="339" spans="1:3" x14ac:dyDescent="0.45">
      <c r="A339" s="1" t="s">
        <v>198</v>
      </c>
      <c r="B339" s="2">
        <v>8904223818942</v>
      </c>
      <c r="C339" s="1" t="s">
        <v>446</v>
      </c>
    </row>
    <row r="340" spans="1:3" x14ac:dyDescent="0.45">
      <c r="A340" s="1" t="s">
        <v>198</v>
      </c>
      <c r="B340" s="2">
        <v>8904223818850</v>
      </c>
      <c r="C340" s="1" t="s">
        <v>446</v>
      </c>
    </row>
    <row r="341" spans="1:3" x14ac:dyDescent="0.45">
      <c r="A341" s="1" t="s">
        <v>36</v>
      </c>
      <c r="B341" s="2">
        <v>8904223819468</v>
      </c>
      <c r="C341" s="1" t="s">
        <v>446</v>
      </c>
    </row>
    <row r="342" spans="1:3" x14ac:dyDescent="0.45">
      <c r="A342" s="1" t="s">
        <v>189</v>
      </c>
      <c r="B342" s="2">
        <v>8904223818706</v>
      </c>
      <c r="C342" s="1" t="s">
        <v>446</v>
      </c>
    </row>
    <row r="343" spans="1:3" x14ac:dyDescent="0.45">
      <c r="A343" s="1" t="s">
        <v>189</v>
      </c>
      <c r="B343" s="2">
        <v>8904223818942</v>
      </c>
      <c r="C343" s="1" t="s">
        <v>446</v>
      </c>
    </row>
    <row r="344" spans="1:3" x14ac:dyDescent="0.45">
      <c r="A344" s="1" t="s">
        <v>189</v>
      </c>
      <c r="B344" s="2">
        <v>8904223818850</v>
      </c>
      <c r="C344" s="1" t="s">
        <v>446</v>
      </c>
    </row>
    <row r="345" spans="1:3" x14ac:dyDescent="0.45">
      <c r="A345" s="1" t="s">
        <v>186</v>
      </c>
      <c r="B345" s="2">
        <v>8904223818669</v>
      </c>
      <c r="C345" s="1" t="s">
        <v>446</v>
      </c>
    </row>
    <row r="346" spans="1:3" x14ac:dyDescent="0.45">
      <c r="A346" s="1" t="s">
        <v>186</v>
      </c>
      <c r="B346" s="2">
        <v>8904223818683</v>
      </c>
      <c r="C346" s="1" t="s">
        <v>446</v>
      </c>
    </row>
    <row r="347" spans="1:3" x14ac:dyDescent="0.45">
      <c r="A347" s="1" t="s">
        <v>186</v>
      </c>
      <c r="B347" s="2">
        <v>8904223818935</v>
      </c>
      <c r="C347" s="1" t="s">
        <v>446</v>
      </c>
    </row>
    <row r="348" spans="1:3" x14ac:dyDescent="0.45">
      <c r="A348" s="1" t="s">
        <v>186</v>
      </c>
      <c r="B348" s="2">
        <v>8904223818713</v>
      </c>
      <c r="C348" s="1" t="s">
        <v>446</v>
      </c>
    </row>
    <row r="349" spans="1:3" x14ac:dyDescent="0.45">
      <c r="A349" s="1" t="s">
        <v>186</v>
      </c>
      <c r="B349" s="2">
        <v>8904223819024</v>
      </c>
      <c r="C349" s="1" t="s">
        <v>446</v>
      </c>
    </row>
    <row r="350" spans="1:3" x14ac:dyDescent="0.45">
      <c r="A350" s="1" t="s">
        <v>186</v>
      </c>
      <c r="B350" s="2">
        <v>8904223819123</v>
      </c>
      <c r="C350" s="1" t="s">
        <v>446</v>
      </c>
    </row>
    <row r="351" spans="1:3" x14ac:dyDescent="0.45">
      <c r="A351" s="1" t="s">
        <v>183</v>
      </c>
      <c r="B351" s="2">
        <v>8904223818706</v>
      </c>
      <c r="C351" s="1" t="s">
        <v>446</v>
      </c>
    </row>
    <row r="352" spans="1:3" x14ac:dyDescent="0.45">
      <c r="A352" s="1" t="s">
        <v>183</v>
      </c>
      <c r="B352" s="2">
        <v>8904223818942</v>
      </c>
      <c r="C352" s="1" t="s">
        <v>446</v>
      </c>
    </row>
    <row r="353" spans="1:3" x14ac:dyDescent="0.45">
      <c r="A353" s="1" t="s">
        <v>183</v>
      </c>
      <c r="B353" s="2">
        <v>8904223818850</v>
      </c>
      <c r="C353" s="1" t="s">
        <v>446</v>
      </c>
    </row>
    <row r="354" spans="1:3" x14ac:dyDescent="0.45">
      <c r="A354" s="1" t="s">
        <v>179</v>
      </c>
      <c r="B354" s="2">
        <v>8904223818591</v>
      </c>
      <c r="C354" s="1" t="s">
        <v>446</v>
      </c>
    </row>
    <row r="355" spans="1:3" x14ac:dyDescent="0.45">
      <c r="A355" s="1" t="s">
        <v>179</v>
      </c>
      <c r="B355" s="2">
        <v>8904223816214</v>
      </c>
      <c r="C355" s="1" t="s">
        <v>446</v>
      </c>
    </row>
    <row r="356" spans="1:3" x14ac:dyDescent="0.45">
      <c r="A356" s="1" t="s">
        <v>179</v>
      </c>
      <c r="B356" s="2">
        <v>8904223819024</v>
      </c>
      <c r="C356" s="1" t="s">
        <v>446</v>
      </c>
    </row>
    <row r="357" spans="1:3" x14ac:dyDescent="0.45">
      <c r="A357" s="1" t="s">
        <v>179</v>
      </c>
      <c r="B357" s="2">
        <v>8904223819253</v>
      </c>
      <c r="C357" s="1" t="s">
        <v>446</v>
      </c>
    </row>
    <row r="358" spans="1:3" x14ac:dyDescent="0.45">
      <c r="A358" s="1" t="s">
        <v>179</v>
      </c>
      <c r="B358" s="2">
        <v>8904223815804</v>
      </c>
      <c r="C358" s="1" t="s">
        <v>446</v>
      </c>
    </row>
    <row r="359" spans="1:3" x14ac:dyDescent="0.45">
      <c r="A359" s="1" t="s">
        <v>179</v>
      </c>
      <c r="B359" s="2">
        <v>8904223818577</v>
      </c>
      <c r="C359" s="1" t="s">
        <v>446</v>
      </c>
    </row>
    <row r="360" spans="1:3" x14ac:dyDescent="0.45">
      <c r="A360" s="1" t="s">
        <v>176</v>
      </c>
      <c r="B360" s="2">
        <v>8904223818706</v>
      </c>
      <c r="C360" s="1" t="s">
        <v>446</v>
      </c>
    </row>
    <row r="361" spans="1:3" x14ac:dyDescent="0.45">
      <c r="A361" s="1" t="s">
        <v>173</v>
      </c>
      <c r="B361" s="2">
        <v>8904223818706</v>
      </c>
      <c r="C361" s="1" t="s">
        <v>446</v>
      </c>
    </row>
    <row r="362" spans="1:3" x14ac:dyDescent="0.45">
      <c r="A362" s="1" t="s">
        <v>173</v>
      </c>
      <c r="B362" s="2">
        <v>8904223818942</v>
      </c>
      <c r="C362" s="1" t="s">
        <v>446</v>
      </c>
    </row>
    <row r="363" spans="1:3" x14ac:dyDescent="0.45">
      <c r="A363" s="1" t="s">
        <v>173</v>
      </c>
      <c r="B363" s="2">
        <v>8904223818850</v>
      </c>
      <c r="C363" s="1" t="s">
        <v>446</v>
      </c>
    </row>
    <row r="364" spans="1:3" x14ac:dyDescent="0.45">
      <c r="A364" s="1" t="s">
        <v>239</v>
      </c>
      <c r="B364" s="2">
        <v>8904223818706</v>
      </c>
      <c r="C364" s="1" t="s">
        <v>448</v>
      </c>
    </row>
    <row r="365" spans="1:3" x14ac:dyDescent="0.45">
      <c r="A365" s="1" t="s">
        <v>239</v>
      </c>
      <c r="B365" s="2">
        <v>8904223818942</v>
      </c>
      <c r="C365" s="1" t="s">
        <v>448</v>
      </c>
    </row>
    <row r="366" spans="1:3" x14ac:dyDescent="0.45">
      <c r="A366" s="1" t="s">
        <v>239</v>
      </c>
      <c r="B366" s="2">
        <v>8904223818850</v>
      </c>
      <c r="C366" s="1" t="s">
        <v>448</v>
      </c>
    </row>
    <row r="367" spans="1:3" x14ac:dyDescent="0.45">
      <c r="A367" s="1" t="s">
        <v>239</v>
      </c>
      <c r="B367" s="2">
        <v>8904223818706</v>
      </c>
      <c r="C367" s="1" t="s">
        <v>446</v>
      </c>
    </row>
    <row r="368" spans="1:3" x14ac:dyDescent="0.45">
      <c r="A368" s="1" t="s">
        <v>239</v>
      </c>
      <c r="B368" s="2">
        <v>8904223818942</v>
      </c>
      <c r="C368" s="1" t="s">
        <v>446</v>
      </c>
    </row>
    <row r="369" spans="1:3" x14ac:dyDescent="0.45">
      <c r="A369" s="1" t="s">
        <v>239</v>
      </c>
      <c r="B369" s="2">
        <v>8904223818850</v>
      </c>
      <c r="C369" s="1" t="s">
        <v>446</v>
      </c>
    </row>
    <row r="370" spans="1:3" x14ac:dyDescent="0.45">
      <c r="A370" s="1" t="s">
        <v>239</v>
      </c>
      <c r="B370" s="2">
        <v>8904223818683</v>
      </c>
      <c r="C370" s="1" t="s">
        <v>446</v>
      </c>
    </row>
    <row r="371" spans="1:3" x14ac:dyDescent="0.45">
      <c r="A371" s="1" t="s">
        <v>26</v>
      </c>
      <c r="B371" s="2">
        <v>8904223819284</v>
      </c>
      <c r="C371" s="1" t="s">
        <v>446</v>
      </c>
    </row>
    <row r="372" spans="1:3" x14ac:dyDescent="0.45">
      <c r="A372" s="1" t="s">
        <v>26</v>
      </c>
      <c r="B372" s="2">
        <v>8904223818478</v>
      </c>
      <c r="C372" s="1" t="s">
        <v>446</v>
      </c>
    </row>
    <row r="373" spans="1:3" x14ac:dyDescent="0.45">
      <c r="A373" s="1" t="s">
        <v>169</v>
      </c>
      <c r="B373" s="2">
        <v>8904223818706</v>
      </c>
      <c r="C373" s="1" t="s">
        <v>446</v>
      </c>
    </row>
    <row r="374" spans="1:3" x14ac:dyDescent="0.45">
      <c r="A374" s="1" t="s">
        <v>169</v>
      </c>
      <c r="B374" s="2">
        <v>8904223818942</v>
      </c>
      <c r="C374" s="1" t="s">
        <v>446</v>
      </c>
    </row>
    <row r="375" spans="1:3" x14ac:dyDescent="0.45">
      <c r="A375" s="1" t="s">
        <v>169</v>
      </c>
      <c r="B375" s="2">
        <v>8904223818850</v>
      </c>
      <c r="C375" s="1" t="s">
        <v>446</v>
      </c>
    </row>
    <row r="376" spans="1:3" x14ac:dyDescent="0.45">
      <c r="A376" s="1" t="s">
        <v>21</v>
      </c>
      <c r="B376" s="2">
        <v>8904223819437</v>
      </c>
      <c r="C376" s="1" t="s">
        <v>448</v>
      </c>
    </row>
    <row r="377" spans="1:3" x14ac:dyDescent="0.45">
      <c r="A377" s="1" t="s">
        <v>21</v>
      </c>
      <c r="B377" s="2">
        <v>8904223819352</v>
      </c>
      <c r="C377" s="1" t="s">
        <v>446</v>
      </c>
    </row>
    <row r="378" spans="1:3" x14ac:dyDescent="0.45">
      <c r="A378" s="1" t="s">
        <v>21</v>
      </c>
      <c r="B378" s="2">
        <v>8904223819024</v>
      </c>
      <c r="C378" s="1" t="s">
        <v>452</v>
      </c>
    </row>
    <row r="379" spans="1:3" x14ac:dyDescent="0.45">
      <c r="A379" s="1" t="s">
        <v>21</v>
      </c>
      <c r="B379" s="2">
        <v>8904223818874</v>
      </c>
      <c r="C379" s="1" t="s">
        <v>446</v>
      </c>
    </row>
    <row r="380" spans="1:3" x14ac:dyDescent="0.45">
      <c r="A380" s="1" t="s">
        <v>166</v>
      </c>
      <c r="B380" s="2">
        <v>8904223818706</v>
      </c>
      <c r="C380" s="1" t="s">
        <v>446</v>
      </c>
    </row>
    <row r="381" spans="1:3" x14ac:dyDescent="0.45">
      <c r="A381" s="1" t="s">
        <v>166</v>
      </c>
      <c r="B381" s="2">
        <v>8904223818942</v>
      </c>
      <c r="C381" s="1" t="s">
        <v>446</v>
      </c>
    </row>
    <row r="382" spans="1:3" x14ac:dyDescent="0.45">
      <c r="A382" s="1" t="s">
        <v>166</v>
      </c>
      <c r="B382" s="2">
        <v>8904223818850</v>
      </c>
      <c r="C382" s="1" t="s">
        <v>446</v>
      </c>
    </row>
    <row r="383" spans="1:3" x14ac:dyDescent="0.45">
      <c r="A383" s="1" t="s">
        <v>338</v>
      </c>
      <c r="B383" s="2">
        <v>8904223818706</v>
      </c>
      <c r="C383" s="1" t="s">
        <v>446</v>
      </c>
    </row>
    <row r="384" spans="1:3" x14ac:dyDescent="0.45">
      <c r="A384" s="1" t="s">
        <v>338</v>
      </c>
      <c r="B384" s="2">
        <v>8904223818942</v>
      </c>
      <c r="C384" s="1" t="s">
        <v>446</v>
      </c>
    </row>
    <row r="385" spans="1:3" x14ac:dyDescent="0.45">
      <c r="A385" s="1" t="s">
        <v>338</v>
      </c>
      <c r="B385" s="2">
        <v>8904223818850</v>
      </c>
      <c r="C385" s="1" t="s">
        <v>446</v>
      </c>
    </row>
    <row r="386" spans="1:3" x14ac:dyDescent="0.45">
      <c r="A386" s="1" t="s">
        <v>16</v>
      </c>
      <c r="B386" s="2">
        <v>8904223819017</v>
      </c>
      <c r="C386" s="1" t="s">
        <v>446</v>
      </c>
    </row>
    <row r="387" spans="1:3" x14ac:dyDescent="0.45">
      <c r="A387" s="1" t="s">
        <v>16</v>
      </c>
      <c r="B387" s="2">
        <v>8904223818706</v>
      </c>
      <c r="C387" s="1" t="s">
        <v>446</v>
      </c>
    </row>
    <row r="388" spans="1:3" x14ac:dyDescent="0.45">
      <c r="A388" s="1" t="s">
        <v>16</v>
      </c>
      <c r="B388" s="2">
        <v>8904223818942</v>
      </c>
      <c r="C388" s="1" t="s">
        <v>446</v>
      </c>
    </row>
    <row r="389" spans="1:3" x14ac:dyDescent="0.45">
      <c r="A389" s="1" t="s">
        <v>16</v>
      </c>
      <c r="B389" s="2">
        <v>8904223818850</v>
      </c>
      <c r="C389" s="1" t="s">
        <v>446</v>
      </c>
    </row>
    <row r="390" spans="1:3" x14ac:dyDescent="0.45">
      <c r="A390" s="1" t="s">
        <v>162</v>
      </c>
      <c r="B390" s="2">
        <v>8904223819161</v>
      </c>
      <c r="C390" s="1" t="s">
        <v>446</v>
      </c>
    </row>
    <row r="391" spans="1:3" x14ac:dyDescent="0.45">
      <c r="A391" s="1" t="s">
        <v>162</v>
      </c>
      <c r="B391" s="2">
        <v>8904223819260</v>
      </c>
      <c r="C391" s="1" t="s">
        <v>446</v>
      </c>
    </row>
    <row r="392" spans="1:3" x14ac:dyDescent="0.45">
      <c r="A392" s="1" t="s">
        <v>158</v>
      </c>
      <c r="B392" s="2">
        <v>8904223819161</v>
      </c>
      <c r="C392" s="1" t="s">
        <v>446</v>
      </c>
    </row>
    <row r="393" spans="1:3" x14ac:dyDescent="0.45">
      <c r="A393" s="1" t="s">
        <v>158</v>
      </c>
      <c r="B393" s="2">
        <v>8904223819260</v>
      </c>
      <c r="C393" s="1" t="s">
        <v>446</v>
      </c>
    </row>
    <row r="394" spans="1:3" x14ac:dyDescent="0.45">
      <c r="A394" s="1" t="s">
        <v>9</v>
      </c>
      <c r="B394" s="2">
        <v>8904223818645</v>
      </c>
      <c r="C394" s="1" t="s">
        <v>456</v>
      </c>
    </row>
    <row r="395" spans="1:3" x14ac:dyDescent="0.45">
      <c r="A395" s="1" t="s">
        <v>9</v>
      </c>
      <c r="B395" s="2">
        <v>8904223819147</v>
      </c>
      <c r="C395" s="1" t="s">
        <v>448</v>
      </c>
    </row>
    <row r="396" spans="1:3" x14ac:dyDescent="0.45">
      <c r="A396" s="1" t="s">
        <v>154</v>
      </c>
      <c r="B396" s="2">
        <v>8904223818706</v>
      </c>
      <c r="C396" s="1" t="s">
        <v>446</v>
      </c>
    </row>
    <row r="397" spans="1:3" x14ac:dyDescent="0.45">
      <c r="A397" s="1" t="s">
        <v>154</v>
      </c>
      <c r="B397" s="2">
        <v>8904223818942</v>
      </c>
      <c r="C397" s="1" t="s">
        <v>446</v>
      </c>
    </row>
    <row r="398" spans="1:3" x14ac:dyDescent="0.45">
      <c r="A398" s="1" t="s">
        <v>154</v>
      </c>
      <c r="B398" s="2">
        <v>8904223818850</v>
      </c>
      <c r="C398" s="1" t="s">
        <v>446</v>
      </c>
    </row>
    <row r="399" spans="1:3" x14ac:dyDescent="0.45">
      <c r="A399" s="1" t="s">
        <v>150</v>
      </c>
      <c r="B399" s="2">
        <v>8904223818850</v>
      </c>
      <c r="C399" s="1" t="s">
        <v>448</v>
      </c>
    </row>
    <row r="400" spans="1:3" x14ac:dyDescent="0.45">
      <c r="A400" s="1" t="s">
        <v>145</v>
      </c>
      <c r="B400" s="2">
        <v>8904223816214</v>
      </c>
      <c r="C400" s="1" t="s">
        <v>446</v>
      </c>
    </row>
    <row r="401" spans="1:3" x14ac:dyDescent="0.45">
      <c r="A401" s="1" t="s">
        <v>145</v>
      </c>
      <c r="B401" s="2">
        <v>8904223818874</v>
      </c>
      <c r="C401" s="1" t="s">
        <v>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A0EF-373A-467B-A80E-B1375A174066}">
  <dimension ref="A1:B67"/>
  <sheetViews>
    <sheetView workbookViewId="0">
      <selection activeCell="B1" sqref="B1"/>
    </sheetView>
  </sheetViews>
  <sheetFormatPr defaultRowHeight="14.25" x14ac:dyDescent="0.45"/>
  <sheetData>
    <row r="1" spans="1:2" x14ac:dyDescent="0.45">
      <c r="A1" t="s">
        <v>444</v>
      </c>
      <c r="B1" t="s">
        <v>457</v>
      </c>
    </row>
    <row r="2" spans="1:2" x14ac:dyDescent="0.45">
      <c r="A2">
        <v>8904223815682</v>
      </c>
      <c r="B2">
        <v>210</v>
      </c>
    </row>
    <row r="3" spans="1:2" x14ac:dyDescent="0.45">
      <c r="A3">
        <v>8904223815859</v>
      </c>
      <c r="B3">
        <v>165</v>
      </c>
    </row>
    <row r="4" spans="1:2" x14ac:dyDescent="0.45">
      <c r="A4">
        <v>8904223815866</v>
      </c>
      <c r="B4">
        <v>113</v>
      </c>
    </row>
    <row r="5" spans="1:2" x14ac:dyDescent="0.45">
      <c r="A5">
        <v>8904223815873</v>
      </c>
      <c r="B5">
        <v>65</v>
      </c>
    </row>
    <row r="6" spans="1:2" x14ac:dyDescent="0.45">
      <c r="A6">
        <v>8904223816214</v>
      </c>
      <c r="B6">
        <v>120</v>
      </c>
    </row>
    <row r="7" spans="1:2" x14ac:dyDescent="0.45">
      <c r="A7">
        <v>8904223816665</v>
      </c>
      <c r="B7">
        <v>102</v>
      </c>
    </row>
    <row r="8" spans="1:2" x14ac:dyDescent="0.45">
      <c r="A8">
        <v>8904223817273</v>
      </c>
      <c r="B8">
        <v>65</v>
      </c>
    </row>
    <row r="9" spans="1:2" x14ac:dyDescent="0.45">
      <c r="A9">
        <v>8904223817334</v>
      </c>
      <c r="B9">
        <v>170</v>
      </c>
    </row>
    <row r="10" spans="1:2" x14ac:dyDescent="0.45">
      <c r="A10">
        <v>8904223817501</v>
      </c>
      <c r="B10">
        <v>350</v>
      </c>
    </row>
    <row r="11" spans="1:2" x14ac:dyDescent="0.45">
      <c r="A11">
        <v>8904223818430</v>
      </c>
      <c r="B11">
        <v>165</v>
      </c>
    </row>
    <row r="12" spans="1:2" x14ac:dyDescent="0.45">
      <c r="A12">
        <v>8904223818478</v>
      </c>
      <c r="B12">
        <v>350</v>
      </c>
    </row>
    <row r="13" spans="1:2" x14ac:dyDescent="0.45">
      <c r="A13">
        <v>8904223818553</v>
      </c>
      <c r="B13">
        <v>115</v>
      </c>
    </row>
    <row r="14" spans="1:2" x14ac:dyDescent="0.45">
      <c r="A14">
        <v>8904223818577</v>
      </c>
      <c r="B14">
        <v>150</v>
      </c>
    </row>
    <row r="15" spans="1:2" x14ac:dyDescent="0.45">
      <c r="A15">
        <v>8904223818591</v>
      </c>
      <c r="B15">
        <v>120</v>
      </c>
    </row>
    <row r="16" spans="1:2" x14ac:dyDescent="0.45">
      <c r="A16">
        <v>8904223818614</v>
      </c>
      <c r="B16">
        <v>65</v>
      </c>
    </row>
    <row r="17" spans="1:2" x14ac:dyDescent="0.45">
      <c r="A17">
        <v>8904223818638</v>
      </c>
      <c r="B17">
        <v>137</v>
      </c>
    </row>
    <row r="18" spans="1:2" x14ac:dyDescent="0.45">
      <c r="A18">
        <v>8904223818645</v>
      </c>
      <c r="B18">
        <v>137</v>
      </c>
    </row>
    <row r="19" spans="1:2" x14ac:dyDescent="0.45">
      <c r="A19">
        <v>8904223818669</v>
      </c>
      <c r="B19">
        <v>240</v>
      </c>
    </row>
    <row r="20" spans="1:2" x14ac:dyDescent="0.45">
      <c r="A20">
        <v>8904223818683</v>
      </c>
      <c r="B20">
        <v>121</v>
      </c>
    </row>
    <row r="21" spans="1:2" x14ac:dyDescent="0.45">
      <c r="A21">
        <v>8904223818706</v>
      </c>
      <c r="B21">
        <v>127</v>
      </c>
    </row>
    <row r="22" spans="1:2" x14ac:dyDescent="0.45">
      <c r="A22">
        <v>8904223818713</v>
      </c>
      <c r="B22">
        <v>120</v>
      </c>
    </row>
    <row r="23" spans="1:2" x14ac:dyDescent="0.45">
      <c r="A23">
        <v>8904223815804</v>
      </c>
      <c r="B23">
        <v>160</v>
      </c>
    </row>
    <row r="24" spans="1:2" x14ac:dyDescent="0.45">
      <c r="A24">
        <v>8904223818454</v>
      </c>
      <c r="B24">
        <v>232</v>
      </c>
    </row>
    <row r="25" spans="1:2" x14ac:dyDescent="0.45">
      <c r="A25">
        <v>8904223818751</v>
      </c>
      <c r="B25">
        <v>113</v>
      </c>
    </row>
    <row r="26" spans="1:2" x14ac:dyDescent="0.45">
      <c r="A26">
        <v>8904223818850</v>
      </c>
      <c r="B26">
        <v>240</v>
      </c>
    </row>
    <row r="27" spans="1:2" x14ac:dyDescent="0.45">
      <c r="A27">
        <v>8904223818935</v>
      </c>
      <c r="B27">
        <v>120</v>
      </c>
    </row>
    <row r="28" spans="1:2" x14ac:dyDescent="0.45">
      <c r="A28">
        <v>8904223818874</v>
      </c>
      <c r="B28">
        <v>100</v>
      </c>
    </row>
    <row r="29" spans="1:2" x14ac:dyDescent="0.45">
      <c r="A29">
        <v>8904223818997</v>
      </c>
      <c r="B29">
        <v>490</v>
      </c>
    </row>
    <row r="30" spans="1:2" x14ac:dyDescent="0.45">
      <c r="A30">
        <v>8904223818942</v>
      </c>
      <c r="B30">
        <v>133</v>
      </c>
    </row>
    <row r="31" spans="1:2" x14ac:dyDescent="0.45">
      <c r="A31">
        <v>8904223819024</v>
      </c>
      <c r="B31">
        <v>112</v>
      </c>
    </row>
    <row r="32" spans="1:2" x14ac:dyDescent="0.45">
      <c r="A32">
        <v>8904223819031</v>
      </c>
      <c r="B32">
        <v>112</v>
      </c>
    </row>
    <row r="33" spans="1:2" x14ac:dyDescent="0.45">
      <c r="A33">
        <v>8904223818980</v>
      </c>
      <c r="B33">
        <v>110</v>
      </c>
    </row>
    <row r="34" spans="1:2" x14ac:dyDescent="0.45">
      <c r="A34">
        <v>8904223819017</v>
      </c>
      <c r="B34">
        <v>115</v>
      </c>
    </row>
    <row r="35" spans="1:2" x14ac:dyDescent="0.45">
      <c r="A35">
        <v>8904223819093</v>
      </c>
      <c r="B35">
        <v>150</v>
      </c>
    </row>
    <row r="36" spans="1:2" x14ac:dyDescent="0.45">
      <c r="A36">
        <v>8904223819109</v>
      </c>
      <c r="B36">
        <v>100</v>
      </c>
    </row>
    <row r="37" spans="1:2" x14ac:dyDescent="0.45">
      <c r="A37">
        <v>8904223819116</v>
      </c>
      <c r="B37">
        <v>30</v>
      </c>
    </row>
    <row r="38" spans="1:2" x14ac:dyDescent="0.45">
      <c r="A38">
        <v>8904223819161</v>
      </c>
      <c r="B38">
        <v>115</v>
      </c>
    </row>
    <row r="39" spans="1:2" x14ac:dyDescent="0.45">
      <c r="A39">
        <v>8904223819147</v>
      </c>
      <c r="B39">
        <v>240</v>
      </c>
    </row>
    <row r="40" spans="1:2" x14ac:dyDescent="0.45">
      <c r="A40">
        <v>8904223819130</v>
      </c>
      <c r="B40">
        <v>350</v>
      </c>
    </row>
    <row r="41" spans="1:2" x14ac:dyDescent="0.45">
      <c r="A41">
        <v>8904223818881</v>
      </c>
      <c r="B41">
        <v>140</v>
      </c>
    </row>
    <row r="42" spans="1:2" x14ac:dyDescent="0.45">
      <c r="A42">
        <v>8904223818898</v>
      </c>
      <c r="B42">
        <v>140</v>
      </c>
    </row>
    <row r="43" spans="1:2" x14ac:dyDescent="0.45">
      <c r="A43">
        <v>8904223819277</v>
      </c>
      <c r="B43">
        <v>350</v>
      </c>
    </row>
    <row r="44" spans="1:2" x14ac:dyDescent="0.45">
      <c r="A44">
        <v>8904223819284</v>
      </c>
      <c r="B44">
        <v>350</v>
      </c>
    </row>
    <row r="45" spans="1:2" x14ac:dyDescent="0.45">
      <c r="A45">
        <v>8904223819345</v>
      </c>
      <c r="B45">
        <v>165</v>
      </c>
    </row>
    <row r="46" spans="1:2" x14ac:dyDescent="0.45">
      <c r="A46">
        <v>8904223819352</v>
      </c>
      <c r="B46">
        <v>165</v>
      </c>
    </row>
    <row r="47" spans="1:2" x14ac:dyDescent="0.45">
      <c r="A47">
        <v>8904223819239</v>
      </c>
      <c r="B47">
        <v>290</v>
      </c>
    </row>
    <row r="48" spans="1:2" x14ac:dyDescent="0.45">
      <c r="A48">
        <v>8904223819246</v>
      </c>
      <c r="B48">
        <v>290</v>
      </c>
    </row>
    <row r="49" spans="1:2" x14ac:dyDescent="0.45">
      <c r="A49">
        <v>8904223819253</v>
      </c>
      <c r="B49">
        <v>290</v>
      </c>
    </row>
    <row r="50" spans="1:2" x14ac:dyDescent="0.45">
      <c r="A50">
        <v>8904223819291</v>
      </c>
      <c r="B50">
        <v>112</v>
      </c>
    </row>
    <row r="51" spans="1:2" x14ac:dyDescent="0.45">
      <c r="A51">
        <v>8904223819437</v>
      </c>
      <c r="B51">
        <v>552</v>
      </c>
    </row>
    <row r="52" spans="1:2" x14ac:dyDescent="0.45">
      <c r="A52" t="s">
        <v>455</v>
      </c>
      <c r="B52">
        <v>500</v>
      </c>
    </row>
    <row r="53" spans="1:2" x14ac:dyDescent="0.45">
      <c r="A53" t="s">
        <v>454</v>
      </c>
      <c r="B53">
        <v>500</v>
      </c>
    </row>
    <row r="54" spans="1:2" x14ac:dyDescent="0.45">
      <c r="A54" t="s">
        <v>447</v>
      </c>
      <c r="B54">
        <v>500</v>
      </c>
    </row>
    <row r="55" spans="1:2" x14ac:dyDescent="0.45">
      <c r="A55">
        <v>8904223819369</v>
      </c>
      <c r="B55">
        <v>170</v>
      </c>
    </row>
    <row r="56" spans="1:2" x14ac:dyDescent="0.45">
      <c r="A56" t="s">
        <v>453</v>
      </c>
      <c r="B56">
        <v>500</v>
      </c>
    </row>
    <row r="57" spans="1:2" x14ac:dyDescent="0.45">
      <c r="A57">
        <v>8904223819123</v>
      </c>
      <c r="B57">
        <v>250</v>
      </c>
    </row>
    <row r="58" spans="1:2" x14ac:dyDescent="0.45">
      <c r="A58" t="s">
        <v>447</v>
      </c>
      <c r="B58">
        <v>500</v>
      </c>
    </row>
    <row r="59" spans="1:2" x14ac:dyDescent="0.45">
      <c r="A59">
        <v>8904223819468</v>
      </c>
      <c r="B59">
        <v>240</v>
      </c>
    </row>
    <row r="60" spans="1:2" x14ac:dyDescent="0.45">
      <c r="A60">
        <v>8904223819260</v>
      </c>
      <c r="B60">
        <v>130</v>
      </c>
    </row>
    <row r="61" spans="1:2" x14ac:dyDescent="0.45">
      <c r="A61">
        <v>8904223819321</v>
      </c>
      <c r="B61">
        <v>600</v>
      </c>
    </row>
    <row r="62" spans="1:2" x14ac:dyDescent="0.45">
      <c r="A62">
        <v>8904223819338</v>
      </c>
      <c r="B62">
        <v>600</v>
      </c>
    </row>
    <row r="63" spans="1:2" x14ac:dyDescent="0.45">
      <c r="A63">
        <v>8904223819505</v>
      </c>
      <c r="B63">
        <v>210</v>
      </c>
    </row>
    <row r="64" spans="1:2" x14ac:dyDescent="0.45">
      <c r="A64">
        <v>8904223819499</v>
      </c>
      <c r="B64">
        <v>210</v>
      </c>
    </row>
    <row r="65" spans="1:2" x14ac:dyDescent="0.45">
      <c r="A65">
        <v>8904223819512</v>
      </c>
      <c r="B65">
        <v>210</v>
      </c>
    </row>
    <row r="66" spans="1:2" x14ac:dyDescent="0.45">
      <c r="A66">
        <v>8904223819543</v>
      </c>
      <c r="B66">
        <v>300</v>
      </c>
    </row>
    <row r="67" spans="1:2" x14ac:dyDescent="0.45">
      <c r="A67" t="s">
        <v>449</v>
      </c>
      <c r="B6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7325-3E71-4D40-BE1B-21402E9B44D5}">
  <dimension ref="A1:C125"/>
  <sheetViews>
    <sheetView workbookViewId="0">
      <selection activeCell="B26" sqref="B26"/>
    </sheetView>
  </sheetViews>
  <sheetFormatPr defaultRowHeight="14.25" x14ac:dyDescent="0.45"/>
  <cols>
    <col min="1" max="1" width="20.6640625" customWidth="1"/>
    <col min="2" max="2" width="18.06640625" customWidth="1"/>
  </cols>
  <sheetData>
    <row r="1" spans="1:3" x14ac:dyDescent="0.45">
      <c r="A1" t="s">
        <v>3</v>
      </c>
      <c r="B1" t="s">
        <v>4</v>
      </c>
      <c r="C1" t="s">
        <v>5</v>
      </c>
    </row>
    <row r="2" spans="1:3" x14ac:dyDescent="0.45">
      <c r="A2">
        <v>121003</v>
      </c>
      <c r="B2">
        <v>507101</v>
      </c>
      <c r="C2" t="s">
        <v>12</v>
      </c>
    </row>
    <row r="3" spans="1:3" x14ac:dyDescent="0.45">
      <c r="A3">
        <v>121003</v>
      </c>
      <c r="B3">
        <v>486886</v>
      </c>
      <c r="C3" t="s">
        <v>12</v>
      </c>
    </row>
    <row r="4" spans="1:3" x14ac:dyDescent="0.45">
      <c r="A4">
        <v>121003</v>
      </c>
      <c r="B4">
        <v>532484</v>
      </c>
      <c r="C4" t="s">
        <v>12</v>
      </c>
    </row>
    <row r="5" spans="1:3" x14ac:dyDescent="0.45">
      <c r="A5">
        <v>121003</v>
      </c>
      <c r="B5">
        <v>143001</v>
      </c>
      <c r="C5" t="s">
        <v>28</v>
      </c>
    </row>
    <row r="6" spans="1:3" x14ac:dyDescent="0.45">
      <c r="A6">
        <v>121003</v>
      </c>
      <c r="B6">
        <v>515591</v>
      </c>
      <c r="C6" t="s">
        <v>12</v>
      </c>
    </row>
    <row r="7" spans="1:3" x14ac:dyDescent="0.45">
      <c r="A7">
        <v>121003</v>
      </c>
      <c r="B7">
        <v>326502</v>
      </c>
      <c r="C7" t="s">
        <v>12</v>
      </c>
    </row>
    <row r="8" spans="1:3" x14ac:dyDescent="0.45">
      <c r="A8">
        <v>121003</v>
      </c>
      <c r="B8">
        <v>208019</v>
      </c>
      <c r="C8" t="s">
        <v>28</v>
      </c>
    </row>
    <row r="9" spans="1:3" x14ac:dyDescent="0.45">
      <c r="A9">
        <v>121003</v>
      </c>
      <c r="B9">
        <v>140301</v>
      </c>
      <c r="C9" t="s">
        <v>28</v>
      </c>
    </row>
    <row r="10" spans="1:3" x14ac:dyDescent="0.45">
      <c r="A10">
        <v>121003</v>
      </c>
      <c r="B10">
        <v>396001</v>
      </c>
      <c r="C10" t="s">
        <v>12</v>
      </c>
    </row>
    <row r="11" spans="1:3" x14ac:dyDescent="0.45">
      <c r="A11">
        <v>121003</v>
      </c>
      <c r="B11">
        <v>711106</v>
      </c>
      <c r="C11" t="s">
        <v>12</v>
      </c>
    </row>
    <row r="12" spans="1:3" x14ac:dyDescent="0.45">
      <c r="A12">
        <v>121003</v>
      </c>
      <c r="B12">
        <v>284001</v>
      </c>
      <c r="C12" t="s">
        <v>28</v>
      </c>
    </row>
    <row r="13" spans="1:3" x14ac:dyDescent="0.45">
      <c r="A13">
        <v>121003</v>
      </c>
      <c r="B13">
        <v>441601</v>
      </c>
      <c r="C13" t="s">
        <v>12</v>
      </c>
    </row>
    <row r="14" spans="1:3" x14ac:dyDescent="0.45">
      <c r="A14">
        <v>121003</v>
      </c>
      <c r="B14">
        <v>248006</v>
      </c>
      <c r="C14" t="s">
        <v>28</v>
      </c>
    </row>
    <row r="15" spans="1:3" x14ac:dyDescent="0.45">
      <c r="A15">
        <v>121003</v>
      </c>
      <c r="B15">
        <v>485001</v>
      </c>
      <c r="C15" t="s">
        <v>12</v>
      </c>
    </row>
    <row r="16" spans="1:3" x14ac:dyDescent="0.45">
      <c r="A16">
        <v>121003</v>
      </c>
      <c r="B16">
        <v>845438</v>
      </c>
      <c r="C16" t="s">
        <v>12</v>
      </c>
    </row>
    <row r="17" spans="1:3" x14ac:dyDescent="0.45">
      <c r="A17">
        <v>121003</v>
      </c>
      <c r="B17">
        <v>463106</v>
      </c>
      <c r="C17" t="s">
        <v>12</v>
      </c>
    </row>
    <row r="18" spans="1:3" x14ac:dyDescent="0.45">
      <c r="A18">
        <v>121003</v>
      </c>
      <c r="B18">
        <v>140301</v>
      </c>
      <c r="C18" t="s">
        <v>28</v>
      </c>
    </row>
    <row r="19" spans="1:3" x14ac:dyDescent="0.45">
      <c r="A19">
        <v>121003</v>
      </c>
      <c r="B19">
        <v>495671</v>
      </c>
      <c r="C19" t="s">
        <v>12</v>
      </c>
    </row>
    <row r="20" spans="1:3" x14ac:dyDescent="0.45">
      <c r="A20">
        <v>121003</v>
      </c>
      <c r="B20">
        <v>673002</v>
      </c>
      <c r="C20" t="s">
        <v>85</v>
      </c>
    </row>
    <row r="21" spans="1:3" x14ac:dyDescent="0.45">
      <c r="A21">
        <v>121003</v>
      </c>
      <c r="B21">
        <v>208002</v>
      </c>
      <c r="C21" t="s">
        <v>28</v>
      </c>
    </row>
    <row r="22" spans="1:3" x14ac:dyDescent="0.45">
      <c r="A22">
        <v>121003</v>
      </c>
      <c r="B22">
        <v>416010</v>
      </c>
      <c r="C22" t="s">
        <v>12</v>
      </c>
    </row>
    <row r="23" spans="1:3" x14ac:dyDescent="0.45">
      <c r="A23">
        <v>121003</v>
      </c>
      <c r="B23">
        <v>226010</v>
      </c>
      <c r="C23" t="s">
        <v>28</v>
      </c>
    </row>
    <row r="24" spans="1:3" x14ac:dyDescent="0.45">
      <c r="A24">
        <v>121003</v>
      </c>
      <c r="B24">
        <v>400705</v>
      </c>
      <c r="C24" t="s">
        <v>12</v>
      </c>
    </row>
    <row r="25" spans="1:3" x14ac:dyDescent="0.45">
      <c r="A25">
        <v>121003</v>
      </c>
      <c r="B25">
        <v>262405</v>
      </c>
      <c r="C25" t="s">
        <v>28</v>
      </c>
    </row>
    <row r="26" spans="1:3" x14ac:dyDescent="0.45">
      <c r="A26">
        <v>121003</v>
      </c>
      <c r="B26">
        <v>394210</v>
      </c>
      <c r="C26" t="s">
        <v>12</v>
      </c>
    </row>
    <row r="27" spans="1:3" x14ac:dyDescent="0.45">
      <c r="A27">
        <v>121003</v>
      </c>
      <c r="B27">
        <v>411014</v>
      </c>
      <c r="C27" t="s">
        <v>12</v>
      </c>
    </row>
    <row r="28" spans="1:3" x14ac:dyDescent="0.45">
      <c r="A28">
        <v>121003</v>
      </c>
      <c r="B28">
        <v>783301</v>
      </c>
      <c r="C28" t="s">
        <v>85</v>
      </c>
    </row>
    <row r="29" spans="1:3" x14ac:dyDescent="0.45">
      <c r="A29">
        <v>121003</v>
      </c>
      <c r="B29">
        <v>486661</v>
      </c>
      <c r="C29" t="s">
        <v>12</v>
      </c>
    </row>
    <row r="30" spans="1:3" x14ac:dyDescent="0.45">
      <c r="A30">
        <v>121003</v>
      </c>
      <c r="B30">
        <v>244001</v>
      </c>
      <c r="C30" t="s">
        <v>28</v>
      </c>
    </row>
    <row r="31" spans="1:3" x14ac:dyDescent="0.45">
      <c r="A31">
        <v>121003</v>
      </c>
      <c r="B31">
        <v>492001</v>
      </c>
      <c r="C31" t="s">
        <v>12</v>
      </c>
    </row>
    <row r="32" spans="1:3" x14ac:dyDescent="0.45">
      <c r="A32">
        <v>121003</v>
      </c>
      <c r="B32">
        <v>517128</v>
      </c>
      <c r="C32" t="s">
        <v>12</v>
      </c>
    </row>
    <row r="33" spans="1:3" x14ac:dyDescent="0.45">
      <c r="A33">
        <v>121003</v>
      </c>
      <c r="B33">
        <v>562110</v>
      </c>
      <c r="C33" t="s">
        <v>12</v>
      </c>
    </row>
    <row r="34" spans="1:3" x14ac:dyDescent="0.45">
      <c r="A34">
        <v>121003</v>
      </c>
      <c r="B34">
        <v>831006</v>
      </c>
      <c r="C34" t="s">
        <v>12</v>
      </c>
    </row>
    <row r="35" spans="1:3" x14ac:dyDescent="0.45">
      <c r="A35">
        <v>121003</v>
      </c>
      <c r="B35">
        <v>140604</v>
      </c>
      <c r="C35" t="s">
        <v>28</v>
      </c>
    </row>
    <row r="36" spans="1:3" x14ac:dyDescent="0.45">
      <c r="A36">
        <v>121003</v>
      </c>
      <c r="B36">
        <v>723146</v>
      </c>
      <c r="C36" t="s">
        <v>12</v>
      </c>
    </row>
    <row r="37" spans="1:3" x14ac:dyDescent="0.45">
      <c r="A37">
        <v>121003</v>
      </c>
      <c r="B37">
        <v>421204</v>
      </c>
      <c r="C37" t="s">
        <v>12</v>
      </c>
    </row>
    <row r="38" spans="1:3" x14ac:dyDescent="0.45">
      <c r="A38">
        <v>121003</v>
      </c>
      <c r="B38">
        <v>263139</v>
      </c>
      <c r="C38" t="s">
        <v>28</v>
      </c>
    </row>
    <row r="39" spans="1:3" x14ac:dyDescent="0.45">
      <c r="A39">
        <v>121003</v>
      </c>
      <c r="B39">
        <v>743263</v>
      </c>
      <c r="C39" t="s">
        <v>12</v>
      </c>
    </row>
    <row r="40" spans="1:3" x14ac:dyDescent="0.45">
      <c r="A40">
        <v>121003</v>
      </c>
      <c r="B40">
        <v>392150</v>
      </c>
      <c r="C40" t="s">
        <v>12</v>
      </c>
    </row>
    <row r="41" spans="1:3" x14ac:dyDescent="0.45">
      <c r="A41">
        <v>121003</v>
      </c>
      <c r="B41">
        <v>382830</v>
      </c>
      <c r="C41" t="s">
        <v>12</v>
      </c>
    </row>
    <row r="42" spans="1:3" x14ac:dyDescent="0.45">
      <c r="A42">
        <v>121003</v>
      </c>
      <c r="B42">
        <v>711303</v>
      </c>
      <c r="C42" t="s">
        <v>12</v>
      </c>
    </row>
    <row r="43" spans="1:3" x14ac:dyDescent="0.45">
      <c r="A43">
        <v>121003</v>
      </c>
      <c r="B43">
        <v>283102</v>
      </c>
      <c r="C43" t="s">
        <v>28</v>
      </c>
    </row>
    <row r="44" spans="1:3" x14ac:dyDescent="0.45">
      <c r="A44">
        <v>121003</v>
      </c>
      <c r="B44">
        <v>370201</v>
      </c>
      <c r="C44" t="s">
        <v>12</v>
      </c>
    </row>
    <row r="45" spans="1:3" x14ac:dyDescent="0.45">
      <c r="A45">
        <v>121003</v>
      </c>
      <c r="B45">
        <v>248001</v>
      </c>
      <c r="C45" t="s">
        <v>28</v>
      </c>
    </row>
    <row r="46" spans="1:3" x14ac:dyDescent="0.45">
      <c r="A46">
        <v>121003</v>
      </c>
      <c r="B46">
        <v>144001</v>
      </c>
      <c r="C46" t="s">
        <v>28</v>
      </c>
    </row>
    <row r="47" spans="1:3" x14ac:dyDescent="0.45">
      <c r="A47">
        <v>121003</v>
      </c>
      <c r="B47">
        <v>403401</v>
      </c>
      <c r="C47" t="s">
        <v>12</v>
      </c>
    </row>
    <row r="48" spans="1:3" x14ac:dyDescent="0.45">
      <c r="A48">
        <v>121003</v>
      </c>
      <c r="B48">
        <v>452001</v>
      </c>
      <c r="C48" t="s">
        <v>12</v>
      </c>
    </row>
    <row r="49" spans="1:3" x14ac:dyDescent="0.45">
      <c r="A49">
        <v>121003</v>
      </c>
      <c r="B49">
        <v>721636</v>
      </c>
      <c r="C49" t="s">
        <v>12</v>
      </c>
    </row>
    <row r="50" spans="1:3" x14ac:dyDescent="0.45">
      <c r="A50">
        <v>121003</v>
      </c>
      <c r="B50">
        <v>831002</v>
      </c>
      <c r="C50" t="s">
        <v>12</v>
      </c>
    </row>
    <row r="51" spans="1:3" x14ac:dyDescent="0.45">
      <c r="A51">
        <v>121003</v>
      </c>
      <c r="B51">
        <v>226004</v>
      </c>
      <c r="C51" t="s">
        <v>28</v>
      </c>
    </row>
    <row r="52" spans="1:3" x14ac:dyDescent="0.45">
      <c r="A52">
        <v>121003</v>
      </c>
      <c r="B52">
        <v>248001</v>
      </c>
      <c r="C52" t="s">
        <v>28</v>
      </c>
    </row>
    <row r="53" spans="1:3" x14ac:dyDescent="0.45">
      <c r="A53">
        <v>121003</v>
      </c>
      <c r="B53">
        <v>410206</v>
      </c>
      <c r="C53" t="s">
        <v>12</v>
      </c>
    </row>
    <row r="54" spans="1:3" x14ac:dyDescent="0.45">
      <c r="A54">
        <v>121003</v>
      </c>
      <c r="B54">
        <v>516503</v>
      </c>
      <c r="C54" t="s">
        <v>12</v>
      </c>
    </row>
    <row r="55" spans="1:3" x14ac:dyDescent="0.45">
      <c r="A55">
        <v>121003</v>
      </c>
      <c r="B55">
        <v>742103</v>
      </c>
      <c r="C55" t="s">
        <v>12</v>
      </c>
    </row>
    <row r="56" spans="1:3" x14ac:dyDescent="0.45">
      <c r="A56">
        <v>121003</v>
      </c>
      <c r="B56">
        <v>452018</v>
      </c>
      <c r="C56" t="s">
        <v>12</v>
      </c>
    </row>
    <row r="57" spans="1:3" x14ac:dyDescent="0.45">
      <c r="A57">
        <v>121003</v>
      </c>
      <c r="B57">
        <v>208001</v>
      </c>
      <c r="C57" t="s">
        <v>28</v>
      </c>
    </row>
    <row r="58" spans="1:3" x14ac:dyDescent="0.45">
      <c r="A58">
        <v>121003</v>
      </c>
      <c r="B58">
        <v>244713</v>
      </c>
      <c r="C58" t="s">
        <v>28</v>
      </c>
    </row>
    <row r="59" spans="1:3" x14ac:dyDescent="0.45">
      <c r="A59">
        <v>121003</v>
      </c>
      <c r="B59">
        <v>580007</v>
      </c>
      <c r="C59" t="s">
        <v>12</v>
      </c>
    </row>
    <row r="60" spans="1:3" x14ac:dyDescent="0.45">
      <c r="A60">
        <v>121003</v>
      </c>
      <c r="B60">
        <v>360005</v>
      </c>
      <c r="C60" t="s">
        <v>12</v>
      </c>
    </row>
    <row r="61" spans="1:3" x14ac:dyDescent="0.45">
      <c r="A61">
        <v>121003</v>
      </c>
      <c r="B61">
        <v>313027</v>
      </c>
      <c r="C61" t="s">
        <v>28</v>
      </c>
    </row>
    <row r="62" spans="1:3" x14ac:dyDescent="0.45">
      <c r="A62">
        <v>121003</v>
      </c>
      <c r="B62">
        <v>341001</v>
      </c>
      <c r="C62" t="s">
        <v>28</v>
      </c>
    </row>
    <row r="63" spans="1:3" x14ac:dyDescent="0.45">
      <c r="A63">
        <v>121003</v>
      </c>
      <c r="B63">
        <v>332715</v>
      </c>
      <c r="C63" t="s">
        <v>28</v>
      </c>
    </row>
    <row r="64" spans="1:3" x14ac:dyDescent="0.45">
      <c r="A64">
        <v>121003</v>
      </c>
      <c r="B64">
        <v>302031</v>
      </c>
      <c r="C64" t="s">
        <v>28</v>
      </c>
    </row>
    <row r="65" spans="1:3" x14ac:dyDescent="0.45">
      <c r="A65">
        <v>121003</v>
      </c>
      <c r="B65">
        <v>335001</v>
      </c>
      <c r="C65" t="s">
        <v>28</v>
      </c>
    </row>
    <row r="66" spans="1:3" x14ac:dyDescent="0.45">
      <c r="A66">
        <v>121003</v>
      </c>
      <c r="B66">
        <v>334004</v>
      </c>
      <c r="C66" t="s">
        <v>28</v>
      </c>
    </row>
    <row r="67" spans="1:3" x14ac:dyDescent="0.45">
      <c r="A67">
        <v>121003</v>
      </c>
      <c r="B67">
        <v>321001</v>
      </c>
      <c r="C67" t="s">
        <v>28</v>
      </c>
    </row>
    <row r="68" spans="1:3" x14ac:dyDescent="0.45">
      <c r="A68">
        <v>121003</v>
      </c>
      <c r="B68">
        <v>324001</v>
      </c>
      <c r="C68" t="s">
        <v>28</v>
      </c>
    </row>
    <row r="69" spans="1:3" x14ac:dyDescent="0.45">
      <c r="A69">
        <v>121003</v>
      </c>
      <c r="B69">
        <v>321608</v>
      </c>
      <c r="C69" t="s">
        <v>28</v>
      </c>
    </row>
    <row r="70" spans="1:3" x14ac:dyDescent="0.45">
      <c r="A70">
        <v>121003</v>
      </c>
      <c r="B70">
        <v>302002</v>
      </c>
      <c r="C70" t="s">
        <v>28</v>
      </c>
    </row>
    <row r="71" spans="1:3" x14ac:dyDescent="0.45">
      <c r="A71">
        <v>121003</v>
      </c>
      <c r="B71">
        <v>311011</v>
      </c>
      <c r="C71" t="s">
        <v>28</v>
      </c>
    </row>
    <row r="72" spans="1:3" x14ac:dyDescent="0.45">
      <c r="A72">
        <v>121003</v>
      </c>
      <c r="B72">
        <v>306302</v>
      </c>
      <c r="C72" t="s">
        <v>28</v>
      </c>
    </row>
    <row r="73" spans="1:3" x14ac:dyDescent="0.45">
      <c r="A73">
        <v>121003</v>
      </c>
      <c r="B73">
        <v>313001</v>
      </c>
      <c r="C73" t="s">
        <v>28</v>
      </c>
    </row>
    <row r="74" spans="1:3" x14ac:dyDescent="0.45">
      <c r="A74">
        <v>121003</v>
      </c>
      <c r="B74">
        <v>302002</v>
      </c>
      <c r="C74" t="s">
        <v>28</v>
      </c>
    </row>
    <row r="75" spans="1:3" x14ac:dyDescent="0.45">
      <c r="A75">
        <v>121003</v>
      </c>
      <c r="B75">
        <v>322255</v>
      </c>
      <c r="C75" t="s">
        <v>28</v>
      </c>
    </row>
    <row r="76" spans="1:3" x14ac:dyDescent="0.45">
      <c r="A76">
        <v>121003</v>
      </c>
      <c r="B76">
        <v>302017</v>
      </c>
      <c r="C76" t="s">
        <v>28</v>
      </c>
    </row>
    <row r="77" spans="1:3" x14ac:dyDescent="0.45">
      <c r="A77">
        <v>121003</v>
      </c>
      <c r="B77">
        <v>302017</v>
      </c>
      <c r="C77" t="s">
        <v>28</v>
      </c>
    </row>
    <row r="78" spans="1:3" x14ac:dyDescent="0.45">
      <c r="A78">
        <v>121003</v>
      </c>
      <c r="B78">
        <v>335512</v>
      </c>
      <c r="C78" t="s">
        <v>28</v>
      </c>
    </row>
    <row r="79" spans="1:3" x14ac:dyDescent="0.45">
      <c r="A79">
        <v>121003</v>
      </c>
      <c r="B79">
        <v>313001</v>
      </c>
      <c r="C79" t="s">
        <v>28</v>
      </c>
    </row>
    <row r="80" spans="1:3" x14ac:dyDescent="0.45">
      <c r="A80">
        <v>121003</v>
      </c>
      <c r="B80">
        <v>313001</v>
      </c>
      <c r="C80" t="s">
        <v>28</v>
      </c>
    </row>
    <row r="81" spans="1:3" x14ac:dyDescent="0.45">
      <c r="A81">
        <v>121003</v>
      </c>
      <c r="B81">
        <v>307026</v>
      </c>
      <c r="C81" t="s">
        <v>28</v>
      </c>
    </row>
    <row r="82" spans="1:3" x14ac:dyDescent="0.45">
      <c r="A82">
        <v>121003</v>
      </c>
      <c r="B82">
        <v>327025</v>
      </c>
      <c r="C82" t="s">
        <v>28</v>
      </c>
    </row>
    <row r="83" spans="1:3" x14ac:dyDescent="0.45">
      <c r="A83">
        <v>121003</v>
      </c>
      <c r="B83">
        <v>313333</v>
      </c>
      <c r="C83" t="s">
        <v>28</v>
      </c>
    </row>
    <row r="84" spans="1:3" x14ac:dyDescent="0.45">
      <c r="A84">
        <v>121003</v>
      </c>
      <c r="B84">
        <v>313001</v>
      </c>
      <c r="C84" t="s">
        <v>28</v>
      </c>
    </row>
    <row r="85" spans="1:3" x14ac:dyDescent="0.45">
      <c r="A85">
        <v>121003</v>
      </c>
      <c r="B85">
        <v>342008</v>
      </c>
      <c r="C85" t="s">
        <v>28</v>
      </c>
    </row>
    <row r="86" spans="1:3" x14ac:dyDescent="0.45">
      <c r="A86">
        <v>121003</v>
      </c>
      <c r="B86">
        <v>314401</v>
      </c>
      <c r="C86" t="s">
        <v>28</v>
      </c>
    </row>
    <row r="87" spans="1:3" x14ac:dyDescent="0.45">
      <c r="A87">
        <v>121003</v>
      </c>
      <c r="B87">
        <v>342301</v>
      </c>
      <c r="C87" t="s">
        <v>28</v>
      </c>
    </row>
    <row r="88" spans="1:3" x14ac:dyDescent="0.45">
      <c r="A88">
        <v>121003</v>
      </c>
      <c r="B88">
        <v>313003</v>
      </c>
      <c r="C88" t="s">
        <v>28</v>
      </c>
    </row>
    <row r="89" spans="1:3" x14ac:dyDescent="0.45">
      <c r="A89">
        <v>121003</v>
      </c>
      <c r="B89">
        <v>173212</v>
      </c>
      <c r="C89" t="s">
        <v>85</v>
      </c>
    </row>
    <row r="90" spans="1:3" x14ac:dyDescent="0.45">
      <c r="A90">
        <v>121003</v>
      </c>
      <c r="B90">
        <v>174101</v>
      </c>
      <c r="C90" t="s">
        <v>85</v>
      </c>
    </row>
    <row r="91" spans="1:3" x14ac:dyDescent="0.45">
      <c r="A91">
        <v>121003</v>
      </c>
      <c r="B91">
        <v>173213</v>
      </c>
      <c r="C91" t="s">
        <v>85</v>
      </c>
    </row>
    <row r="92" spans="1:3" x14ac:dyDescent="0.45">
      <c r="A92">
        <v>121003</v>
      </c>
      <c r="B92">
        <v>302017</v>
      </c>
      <c r="C92" t="s">
        <v>28</v>
      </c>
    </row>
    <row r="93" spans="1:3" x14ac:dyDescent="0.45">
      <c r="A93">
        <v>121003</v>
      </c>
      <c r="B93">
        <v>322201</v>
      </c>
      <c r="C93" t="s">
        <v>28</v>
      </c>
    </row>
    <row r="94" spans="1:3" x14ac:dyDescent="0.45">
      <c r="A94">
        <v>121003</v>
      </c>
      <c r="B94">
        <v>314001</v>
      </c>
      <c r="C94" t="s">
        <v>28</v>
      </c>
    </row>
    <row r="95" spans="1:3" x14ac:dyDescent="0.45">
      <c r="A95">
        <v>121003</v>
      </c>
      <c r="B95">
        <v>331022</v>
      </c>
      <c r="C95" t="s">
        <v>28</v>
      </c>
    </row>
    <row r="96" spans="1:3" x14ac:dyDescent="0.45">
      <c r="A96">
        <v>121003</v>
      </c>
      <c r="B96">
        <v>305801</v>
      </c>
      <c r="C96" t="s">
        <v>28</v>
      </c>
    </row>
    <row r="97" spans="1:3" x14ac:dyDescent="0.45">
      <c r="A97">
        <v>121003</v>
      </c>
      <c r="B97">
        <v>335502</v>
      </c>
      <c r="C97" t="s">
        <v>28</v>
      </c>
    </row>
    <row r="98" spans="1:3" x14ac:dyDescent="0.45">
      <c r="A98">
        <v>121003</v>
      </c>
      <c r="B98">
        <v>306116</v>
      </c>
      <c r="C98" t="s">
        <v>28</v>
      </c>
    </row>
    <row r="99" spans="1:3" x14ac:dyDescent="0.45">
      <c r="A99">
        <v>121003</v>
      </c>
      <c r="B99">
        <v>311001</v>
      </c>
      <c r="C99" t="s">
        <v>28</v>
      </c>
    </row>
    <row r="100" spans="1:3" x14ac:dyDescent="0.45">
      <c r="A100">
        <v>121003</v>
      </c>
      <c r="B100">
        <v>302019</v>
      </c>
      <c r="C100" t="s">
        <v>28</v>
      </c>
    </row>
    <row r="101" spans="1:3" x14ac:dyDescent="0.45">
      <c r="A101">
        <v>121003</v>
      </c>
      <c r="B101">
        <v>302039</v>
      </c>
      <c r="C101" t="s">
        <v>28</v>
      </c>
    </row>
    <row r="102" spans="1:3" x14ac:dyDescent="0.45">
      <c r="A102">
        <v>121003</v>
      </c>
      <c r="B102">
        <v>335803</v>
      </c>
      <c r="C102" t="s">
        <v>28</v>
      </c>
    </row>
    <row r="103" spans="1:3" x14ac:dyDescent="0.45">
      <c r="A103">
        <v>121003</v>
      </c>
      <c r="B103">
        <v>335001</v>
      </c>
      <c r="C103" t="s">
        <v>28</v>
      </c>
    </row>
    <row r="104" spans="1:3" x14ac:dyDescent="0.45">
      <c r="A104">
        <v>121003</v>
      </c>
      <c r="B104">
        <v>175101</v>
      </c>
      <c r="C104" t="s">
        <v>85</v>
      </c>
    </row>
    <row r="105" spans="1:3" x14ac:dyDescent="0.45">
      <c r="A105">
        <v>121003</v>
      </c>
      <c r="B105">
        <v>303903</v>
      </c>
      <c r="C105" t="s">
        <v>28</v>
      </c>
    </row>
    <row r="106" spans="1:3" x14ac:dyDescent="0.45">
      <c r="A106">
        <v>121003</v>
      </c>
      <c r="B106">
        <v>342012</v>
      </c>
      <c r="C106" t="s">
        <v>28</v>
      </c>
    </row>
    <row r="107" spans="1:3" x14ac:dyDescent="0.45">
      <c r="A107">
        <v>121003</v>
      </c>
      <c r="B107">
        <v>334001</v>
      </c>
      <c r="C107" t="s">
        <v>28</v>
      </c>
    </row>
    <row r="108" spans="1:3" x14ac:dyDescent="0.45">
      <c r="A108">
        <v>121003</v>
      </c>
      <c r="B108">
        <v>302031</v>
      </c>
      <c r="C108" t="s">
        <v>28</v>
      </c>
    </row>
    <row r="109" spans="1:3" x14ac:dyDescent="0.45">
      <c r="A109">
        <v>121003</v>
      </c>
      <c r="B109">
        <v>302012</v>
      </c>
      <c r="C109" t="s">
        <v>28</v>
      </c>
    </row>
    <row r="110" spans="1:3" x14ac:dyDescent="0.45">
      <c r="A110">
        <v>121003</v>
      </c>
      <c r="B110">
        <v>342014</v>
      </c>
      <c r="C110" t="s">
        <v>28</v>
      </c>
    </row>
    <row r="111" spans="1:3" x14ac:dyDescent="0.45">
      <c r="A111">
        <v>121003</v>
      </c>
      <c r="B111">
        <v>324005</v>
      </c>
      <c r="C111" t="s">
        <v>28</v>
      </c>
    </row>
    <row r="112" spans="1:3" x14ac:dyDescent="0.45">
      <c r="A112">
        <v>121003</v>
      </c>
      <c r="B112">
        <v>302001</v>
      </c>
      <c r="C112" t="s">
        <v>28</v>
      </c>
    </row>
    <row r="113" spans="1:3" x14ac:dyDescent="0.45">
      <c r="A113">
        <v>121003</v>
      </c>
      <c r="B113">
        <v>302004</v>
      </c>
      <c r="C113" t="s">
        <v>28</v>
      </c>
    </row>
    <row r="114" spans="1:3" x14ac:dyDescent="0.45">
      <c r="A114">
        <v>121003</v>
      </c>
      <c r="B114">
        <v>302018</v>
      </c>
      <c r="C114" t="s">
        <v>28</v>
      </c>
    </row>
    <row r="115" spans="1:3" x14ac:dyDescent="0.45">
      <c r="A115">
        <v>121003</v>
      </c>
      <c r="B115">
        <v>302017</v>
      </c>
      <c r="C115" t="s">
        <v>28</v>
      </c>
    </row>
    <row r="116" spans="1:3" x14ac:dyDescent="0.45">
      <c r="A116">
        <v>121003</v>
      </c>
      <c r="B116">
        <v>324008</v>
      </c>
      <c r="C116" t="s">
        <v>28</v>
      </c>
    </row>
    <row r="117" spans="1:3" x14ac:dyDescent="0.45">
      <c r="A117">
        <v>121003</v>
      </c>
      <c r="B117">
        <v>302020</v>
      </c>
      <c r="C117" t="s">
        <v>28</v>
      </c>
    </row>
    <row r="118" spans="1:3" x14ac:dyDescent="0.45">
      <c r="A118">
        <v>121003</v>
      </c>
      <c r="B118">
        <v>302018</v>
      </c>
      <c r="C118" t="s">
        <v>28</v>
      </c>
    </row>
    <row r="119" spans="1:3" x14ac:dyDescent="0.45">
      <c r="A119">
        <v>121003</v>
      </c>
      <c r="B119">
        <v>302017</v>
      </c>
      <c r="C119" t="s">
        <v>28</v>
      </c>
    </row>
    <row r="120" spans="1:3" x14ac:dyDescent="0.45">
      <c r="A120">
        <v>121003</v>
      </c>
      <c r="B120">
        <v>302012</v>
      </c>
      <c r="C120" t="s">
        <v>28</v>
      </c>
    </row>
    <row r="121" spans="1:3" x14ac:dyDescent="0.45">
      <c r="A121">
        <v>121003</v>
      </c>
      <c r="B121">
        <v>325207</v>
      </c>
      <c r="C121" t="s">
        <v>28</v>
      </c>
    </row>
    <row r="122" spans="1:3" x14ac:dyDescent="0.45">
      <c r="A122">
        <v>121003</v>
      </c>
      <c r="B122">
        <v>303702</v>
      </c>
      <c r="C122" t="s">
        <v>28</v>
      </c>
    </row>
    <row r="123" spans="1:3" x14ac:dyDescent="0.45">
      <c r="A123">
        <v>121003</v>
      </c>
      <c r="B123">
        <v>313301</v>
      </c>
      <c r="C123" t="s">
        <v>28</v>
      </c>
    </row>
    <row r="124" spans="1:3" x14ac:dyDescent="0.45">
      <c r="A124">
        <v>121003</v>
      </c>
      <c r="B124">
        <v>173212</v>
      </c>
      <c r="C124" t="s">
        <v>85</v>
      </c>
    </row>
    <row r="125" spans="1:3" x14ac:dyDescent="0.45">
      <c r="A125">
        <v>121003</v>
      </c>
      <c r="B125">
        <v>302020</v>
      </c>
      <c r="C125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6C00-76F1-415B-B5CD-0B298DEC4771}">
  <dimension ref="A1:T9"/>
  <sheetViews>
    <sheetView workbookViewId="0">
      <selection activeCell="G6" sqref="G6"/>
    </sheetView>
  </sheetViews>
  <sheetFormatPr defaultRowHeight="14.25" x14ac:dyDescent="0.45"/>
  <sheetData>
    <row r="1" spans="1:20" x14ac:dyDescent="0.45">
      <c r="A1" t="s">
        <v>458</v>
      </c>
      <c r="B1" t="s">
        <v>459</v>
      </c>
      <c r="C1" t="s">
        <v>460</v>
      </c>
      <c r="D1" t="s">
        <v>461</v>
      </c>
      <c r="E1" t="s">
        <v>462</v>
      </c>
      <c r="F1" t="s">
        <v>463</v>
      </c>
      <c r="G1" t="s">
        <v>464</v>
      </c>
      <c r="H1" t="s">
        <v>465</v>
      </c>
      <c r="I1" t="s">
        <v>466</v>
      </c>
      <c r="J1" t="s">
        <v>467</v>
      </c>
      <c r="K1" t="s">
        <v>468</v>
      </c>
      <c r="L1" t="s">
        <v>469</v>
      </c>
      <c r="M1" t="s">
        <v>470</v>
      </c>
      <c r="N1" t="s">
        <v>471</v>
      </c>
      <c r="O1" t="s">
        <v>472</v>
      </c>
      <c r="P1" t="s">
        <v>473</v>
      </c>
      <c r="Q1" t="s">
        <v>474</v>
      </c>
      <c r="R1" t="s">
        <v>475</v>
      </c>
      <c r="S1" t="s">
        <v>476</v>
      </c>
      <c r="T1" t="s">
        <v>477</v>
      </c>
    </row>
    <row r="2" spans="1:20" x14ac:dyDescent="0.45">
      <c r="A2" s="3">
        <v>29.5</v>
      </c>
      <c r="B2" s="3">
        <v>23.6</v>
      </c>
      <c r="C2" s="3">
        <v>33</v>
      </c>
      <c r="D2" s="3">
        <v>28.3</v>
      </c>
      <c r="E2" s="3">
        <v>40.1</v>
      </c>
      <c r="F2" s="3">
        <v>38.9</v>
      </c>
      <c r="G2" s="3">
        <v>45.4</v>
      </c>
      <c r="H2" s="3">
        <v>44.8</v>
      </c>
      <c r="I2" s="3">
        <v>56.6</v>
      </c>
      <c r="J2" s="3">
        <v>55.5</v>
      </c>
      <c r="K2" s="3">
        <v>13.6</v>
      </c>
      <c r="L2" s="3">
        <v>23.6</v>
      </c>
      <c r="M2" s="3">
        <v>20.5</v>
      </c>
      <c r="N2" s="3">
        <v>28.3</v>
      </c>
      <c r="O2" s="3">
        <v>31.9</v>
      </c>
      <c r="P2" s="3">
        <v>38.9</v>
      </c>
      <c r="Q2" s="3">
        <v>41.3</v>
      </c>
      <c r="R2" s="3">
        <v>44.8</v>
      </c>
      <c r="S2" s="3">
        <v>50.7</v>
      </c>
      <c r="T2" s="3">
        <v>55.5</v>
      </c>
    </row>
    <row r="4" spans="1:20" x14ac:dyDescent="0.45">
      <c r="C4" t="s">
        <v>5</v>
      </c>
      <c r="D4" t="s">
        <v>487</v>
      </c>
      <c r="E4" t="s">
        <v>488</v>
      </c>
      <c r="F4" t="s">
        <v>489</v>
      </c>
      <c r="G4" t="s">
        <v>490</v>
      </c>
    </row>
    <row r="5" spans="1:20" x14ac:dyDescent="0.45">
      <c r="C5" t="s">
        <v>485</v>
      </c>
      <c r="F5">
        <v>13.6</v>
      </c>
      <c r="G5">
        <v>23.6</v>
      </c>
    </row>
    <row r="6" spans="1:20" x14ac:dyDescent="0.45">
      <c r="C6" t="s">
        <v>28</v>
      </c>
      <c r="D6">
        <v>33</v>
      </c>
      <c r="E6">
        <v>28.3</v>
      </c>
      <c r="F6">
        <v>20.5</v>
      </c>
      <c r="G6">
        <v>28.3</v>
      </c>
    </row>
    <row r="7" spans="1:20" x14ac:dyDescent="0.45">
      <c r="C7" t="s">
        <v>486</v>
      </c>
      <c r="D7">
        <v>40.1</v>
      </c>
      <c r="E7">
        <v>38.9</v>
      </c>
      <c r="F7">
        <v>31.9</v>
      </c>
      <c r="G7">
        <v>38.9</v>
      </c>
    </row>
    <row r="8" spans="1:20" x14ac:dyDescent="0.45">
      <c r="C8" t="s">
        <v>12</v>
      </c>
      <c r="D8">
        <v>45.4</v>
      </c>
      <c r="E8">
        <v>44.8</v>
      </c>
      <c r="F8">
        <v>41.3</v>
      </c>
      <c r="G8">
        <v>44.8</v>
      </c>
    </row>
    <row r="9" spans="1:20" x14ac:dyDescent="0.45">
      <c r="C9" t="s">
        <v>85</v>
      </c>
      <c r="D9">
        <v>56.6</v>
      </c>
      <c r="E9">
        <v>55.5</v>
      </c>
      <c r="F9">
        <v>50.7</v>
      </c>
      <c r="G9">
        <v>55.5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F501-981E-4311-AEF7-F8E4E8855D22}">
  <dimension ref="A1:S125"/>
  <sheetViews>
    <sheetView topLeftCell="G1" zoomScaleNormal="100" workbookViewId="0">
      <selection activeCell="T8" sqref="T8"/>
    </sheetView>
  </sheetViews>
  <sheetFormatPr defaultRowHeight="14.25" x14ac:dyDescent="0.45"/>
  <cols>
    <col min="1" max="1" width="11.53125" customWidth="1"/>
    <col min="2" max="2" width="13.59765625" customWidth="1"/>
    <col min="3" max="3" width="20.59765625" customWidth="1"/>
    <col min="4" max="4" width="18.06640625" customWidth="1"/>
    <col min="5" max="5" width="35.265625" customWidth="1"/>
    <col min="6" max="6" width="41.46484375" customWidth="1"/>
    <col min="7" max="7" width="19.46484375" customWidth="1"/>
    <col min="8" max="8" width="37" customWidth="1"/>
  </cols>
  <sheetData>
    <row r="1" spans="1:19" s="4" customFormat="1" ht="20" customHeight="1" x14ac:dyDescent="0.45">
      <c r="A1" s="4" t="s">
        <v>1</v>
      </c>
      <c r="B1" s="4" t="s">
        <v>478</v>
      </c>
      <c r="C1" s="4" t="s">
        <v>479</v>
      </c>
      <c r="D1" s="4" t="s">
        <v>480</v>
      </c>
      <c r="E1" s="4" t="s">
        <v>482</v>
      </c>
      <c r="F1" s="4" t="s">
        <v>481</v>
      </c>
      <c r="G1" s="4" t="s">
        <v>483</v>
      </c>
      <c r="H1" s="4" t="s">
        <v>484</v>
      </c>
      <c r="I1" s="4" t="s">
        <v>491</v>
      </c>
      <c r="J1" s="4" t="s">
        <v>492</v>
      </c>
      <c r="K1" s="4" t="s">
        <v>493</v>
      </c>
      <c r="L1" s="4" t="s">
        <v>501</v>
      </c>
      <c r="M1" s="4" t="s">
        <v>500</v>
      </c>
      <c r="N1" s="4" t="s">
        <v>494</v>
      </c>
      <c r="O1" s="4" t="s">
        <v>495</v>
      </c>
      <c r="P1" s="4" t="s">
        <v>496</v>
      </c>
      <c r="Q1" s="4" t="s">
        <v>497</v>
      </c>
      <c r="R1" s="4" t="s">
        <v>498</v>
      </c>
      <c r="S1" s="4" t="s">
        <v>499</v>
      </c>
    </row>
    <row r="2" spans="1:19" x14ac:dyDescent="0.45">
      <c r="A2" t="s">
        <v>9</v>
      </c>
      <c r="B2" t="str">
        <f>_xlfn.XLOOKUP(A2,Sheet1!B:B,Sheet1!A:A)</f>
        <v>1091117222124</v>
      </c>
      <c r="C2" cm="1">
        <f t="array" ref="C2">SUMPRODUCT((Sheet2!$A$2:$A$1000=Sheet6!A2)*Sheet2!$C$2:$C$1000*IFERROR(VLOOKUP(Sheet2!$B$2:$B$1000,Sheet3!$A:$B,2,FALSE),0))/1000</f>
        <v>1.302</v>
      </c>
      <c r="D2">
        <f>CEILING(C2/0.5,1)*0.5</f>
        <v>1.5</v>
      </c>
      <c r="E2" t="str">
        <f>VLOOKUP(A2,Sheet1!B:C,2,FALSE)</f>
        <v>1.3</v>
      </c>
      <c r="F2">
        <f>CEILING(E2/0.5,1)*0.5</f>
        <v>1.5</v>
      </c>
      <c r="G2" t="str">
        <f>VLOOKUP(Sheet4!B2,Sheet4!B:C,2,FALSE)</f>
        <v>d</v>
      </c>
      <c r="H2">
        <f>VLOOKUP(A2,Sheet1!B:D,3,FALSE)</f>
        <v>121003</v>
      </c>
      <c r="I2" t="str">
        <f>VLOOKUP(A2,Sheet1!B:H,7,FALSE)</f>
        <v>135</v>
      </c>
      <c r="J2">
        <f t="shared" ref="J2:J33" si="0">D2/0.5</f>
        <v>3</v>
      </c>
      <c r="K2">
        <f>MAX(J2-1,0)</f>
        <v>2</v>
      </c>
      <c r="L2">
        <f>INDEX(Sheet5!$A$2:$T$2,MATCH("fwd_"&amp;LOWER(G2)&amp;"_fixed",Sheet5!$A$1:$T$1,0))</f>
        <v>45.4</v>
      </c>
      <c r="M2">
        <f>INDEX(Sheet5!$A$2:$Z$2,MATCH("fwd_"&amp;LOWER(G2)&amp;"_additional", Sheet5!$A$1:$Z$1, 0)
)</f>
        <v>44.8</v>
      </c>
      <c r="N2">
        <f>L2+(K2*M2)</f>
        <v>135</v>
      </c>
      <c r="O2">
        <f>INDEX(
Sheet5!$A$2:$Z$2,
MATCH("rto_"&amp;LOWER(G2)&amp;"_fixed", Sheet5!$A$1:$Z$1, 0)
)</f>
        <v>41.3</v>
      </c>
      <c r="P2">
        <f>INDEX(
Sheet5!$A$2:$Z$2,
MATCH("rto_"&amp;LOWER(G2)&amp;"_additional", Sheet5!$A$1:$Z$1, 0)
)</f>
        <v>44.8</v>
      </c>
      <c r="Q2">
        <f t="shared" ref="Q2:Q33" si="1">O2+(K2*P2)</f>
        <v>130.89999999999998</v>
      </c>
      <c r="R2">
        <f>N2+Q2</f>
        <v>265.89999999999998</v>
      </c>
      <c r="S2">
        <f>R2-I2</f>
        <v>130.89999999999998</v>
      </c>
    </row>
    <row r="3" spans="1:19" x14ac:dyDescent="0.45">
      <c r="A3" t="s">
        <v>16</v>
      </c>
      <c r="B3" t="str">
        <f>_xlfn.XLOOKUP(A3,Sheet1!B:B,Sheet1!A:A)</f>
        <v>1091117222194</v>
      </c>
      <c r="C3" cm="1">
        <f t="array" ref="C3">SUMPRODUCT((Sheet2!$A$2:$A$1000=Sheet6!A3)*Sheet2!$C$2:$C$1000*IFERROR(VLOOKUP(Sheet2!$B$2:$B$1000,Sheet3!$A:$B,2,FALSE),0))/1000</f>
        <v>0.61499999999999999</v>
      </c>
      <c r="D3">
        <f t="shared" ref="D3:D66" si="2">CEILING(C3/0.5,1)*0.5</f>
        <v>1</v>
      </c>
      <c r="E3" t="str">
        <f>VLOOKUP(A3,Sheet1!B:C,2,FALSE)</f>
        <v>1</v>
      </c>
      <c r="F3">
        <f t="shared" ref="F3:F66" si="3">CEILING(E3/0.5,1)*0.5</f>
        <v>1</v>
      </c>
      <c r="G3" t="str">
        <f>VLOOKUP(Sheet4!B3,Sheet4!B:C,2,FALSE)</f>
        <v>d</v>
      </c>
      <c r="H3">
        <f>VLOOKUP(A3,Sheet1!B:D,3,FALSE)</f>
        <v>121003</v>
      </c>
      <c r="I3" t="str">
        <f>VLOOKUP(A3,Sheet1!B:H,7,FALSE)</f>
        <v>90.2</v>
      </c>
      <c r="J3">
        <f t="shared" si="0"/>
        <v>2</v>
      </c>
      <c r="K3">
        <f t="shared" ref="K3:K66" si="4">MAX(J3-1,0)</f>
        <v>1</v>
      </c>
      <c r="L3">
        <f>INDEX(Sheet5!$A$2:$T$2,MATCH("fwd_"&amp;LOWER(G3)&amp;"_fixed",Sheet5!$A$1:$T$1,0))</f>
        <v>45.4</v>
      </c>
      <c r="M3">
        <f>INDEX(Sheet5!$A$2:$Z$2,MATCH("fwd_"&amp;LOWER(G3)&amp;"_additional", Sheet5!$A$1:$Z$1, 0)
)</f>
        <v>44.8</v>
      </c>
      <c r="N3">
        <f t="shared" ref="N3:N66" si="5">L3+(K3*M3)</f>
        <v>90.199999999999989</v>
      </c>
      <c r="O3">
        <f>INDEX(
Sheet5!$A$2:$Z$2,
MATCH("rto_"&amp;LOWER(G3)&amp;"_fixed", Sheet5!$A$1:$Z$1, 0)
)</f>
        <v>41.3</v>
      </c>
      <c r="P3">
        <f>INDEX(
Sheet5!$A$2:$Z$2,
MATCH("rto_"&amp;LOWER(G3)&amp;"_additional", Sheet5!$A$1:$Z$1, 0)
)</f>
        <v>44.8</v>
      </c>
      <c r="Q3">
        <f t="shared" si="1"/>
        <v>86.1</v>
      </c>
      <c r="R3">
        <f t="shared" ref="R3:R66" si="6">N3+Q3</f>
        <v>176.29999999999998</v>
      </c>
      <c r="S3">
        <f t="shared" ref="S3:S66" si="7">R3-I3</f>
        <v>86.09999999999998</v>
      </c>
    </row>
    <row r="4" spans="1:19" x14ac:dyDescent="0.45">
      <c r="A4" t="s">
        <v>21</v>
      </c>
      <c r="B4" t="str">
        <f>_xlfn.XLOOKUP(A4,Sheet1!B:B,Sheet1!A:A)</f>
        <v>1091117222931</v>
      </c>
      <c r="C4" cm="1">
        <f t="array" ref="C4">SUMPRODUCT((Sheet2!$A$2:$A$1000=Sheet6!A4)*Sheet2!$C$2:$C$1000*IFERROR(VLOOKUP(Sheet2!$B$2:$B$1000,Sheet3!$A:$B,2,FALSE),0))/1000</f>
        <v>2.2650000000000001</v>
      </c>
      <c r="D4">
        <f t="shared" si="2"/>
        <v>2.5</v>
      </c>
      <c r="E4" t="str">
        <f>VLOOKUP(A4,Sheet1!B:C,2,FALSE)</f>
        <v>2.5</v>
      </c>
      <c r="F4">
        <f t="shared" si="3"/>
        <v>2.5</v>
      </c>
      <c r="G4" t="str">
        <f>VLOOKUP(Sheet4!B4,Sheet4!B:C,2,FALSE)</f>
        <v>d</v>
      </c>
      <c r="H4">
        <f>VLOOKUP(A4,Sheet1!B:D,3,FALSE)</f>
        <v>121003</v>
      </c>
      <c r="I4" t="str">
        <f>VLOOKUP(A4,Sheet1!B:H,7,FALSE)</f>
        <v>224.6</v>
      </c>
      <c r="J4">
        <f t="shared" si="0"/>
        <v>5</v>
      </c>
      <c r="K4">
        <f t="shared" si="4"/>
        <v>4</v>
      </c>
      <c r="L4">
        <f>INDEX(Sheet5!$A$2:$T$2,MATCH("fwd_"&amp;LOWER(G4)&amp;"_fixed",Sheet5!$A$1:$T$1,0))</f>
        <v>45.4</v>
      </c>
      <c r="M4">
        <f>INDEX(Sheet5!$A$2:$Z$2,MATCH("fwd_"&amp;LOWER(G4)&amp;"_additional", Sheet5!$A$1:$Z$1, 0)
)</f>
        <v>44.8</v>
      </c>
      <c r="N4">
        <f t="shared" si="5"/>
        <v>224.6</v>
      </c>
      <c r="O4">
        <f>INDEX(
Sheet5!$A$2:$Z$2,
MATCH("rto_"&amp;LOWER(G4)&amp;"_fixed", Sheet5!$A$1:$Z$1, 0)
)</f>
        <v>41.3</v>
      </c>
      <c r="P4">
        <f>INDEX(
Sheet5!$A$2:$Z$2,
MATCH("rto_"&amp;LOWER(G4)&amp;"_additional", Sheet5!$A$1:$Z$1, 0)
)</f>
        <v>44.8</v>
      </c>
      <c r="Q4">
        <f t="shared" si="1"/>
        <v>220.5</v>
      </c>
      <c r="R4">
        <f t="shared" si="6"/>
        <v>445.1</v>
      </c>
      <c r="S4">
        <f t="shared" si="7"/>
        <v>220.50000000000003</v>
      </c>
    </row>
    <row r="5" spans="1:19" x14ac:dyDescent="0.45">
      <c r="A5" t="s">
        <v>26</v>
      </c>
      <c r="B5" t="str">
        <f>_xlfn.XLOOKUP(A5,Sheet1!B:B,Sheet1!A:A)</f>
        <v>1091117223244</v>
      </c>
      <c r="C5" cm="1">
        <f t="array" ref="C5">SUMPRODUCT((Sheet2!$A$2:$A$1000=Sheet6!A5)*Sheet2!$C$2:$C$1000*IFERROR(VLOOKUP(Sheet2!$B$2:$B$1000,Sheet3!$A:$B,2,FALSE),0))/1000</f>
        <v>0.7</v>
      </c>
      <c r="D5">
        <f t="shared" si="2"/>
        <v>1</v>
      </c>
      <c r="E5" t="str">
        <f>VLOOKUP(A5,Sheet1!B:C,2,FALSE)</f>
        <v>1</v>
      </c>
      <c r="F5">
        <f t="shared" si="3"/>
        <v>1</v>
      </c>
      <c r="G5" t="str">
        <f>VLOOKUP(Sheet4!B5,Sheet4!B:C,2,FALSE)</f>
        <v>b</v>
      </c>
      <c r="H5">
        <f>VLOOKUP(A5,Sheet1!B:D,3,FALSE)</f>
        <v>121003</v>
      </c>
      <c r="I5" t="str">
        <f>VLOOKUP(A5,Sheet1!B:H,7,FALSE)</f>
        <v>61.3</v>
      </c>
      <c r="J5">
        <f t="shared" si="0"/>
        <v>2</v>
      </c>
      <c r="K5">
        <f t="shared" si="4"/>
        <v>1</v>
      </c>
      <c r="L5">
        <f>INDEX(Sheet5!$A$2:$T$2,MATCH("fwd_"&amp;LOWER(G5)&amp;"_fixed",Sheet5!$A$1:$T$1,0))</f>
        <v>33</v>
      </c>
      <c r="M5">
        <f>INDEX(Sheet5!$A$2:$Z$2,MATCH("fwd_"&amp;LOWER(G5)&amp;"_additional", Sheet5!$A$1:$Z$1, 0)
)</f>
        <v>28.3</v>
      </c>
      <c r="N5">
        <f t="shared" si="5"/>
        <v>61.3</v>
      </c>
      <c r="O5">
        <f>INDEX(
Sheet5!$A$2:$Z$2,
MATCH("rto_"&amp;LOWER(G5)&amp;"_fixed", Sheet5!$A$1:$Z$1, 0)
)</f>
        <v>20.5</v>
      </c>
      <c r="P5">
        <f>INDEX(
Sheet5!$A$2:$Z$2,
MATCH("rto_"&amp;LOWER(G5)&amp;"_additional", Sheet5!$A$1:$Z$1, 0)
)</f>
        <v>28.3</v>
      </c>
      <c r="Q5">
        <f t="shared" si="1"/>
        <v>48.8</v>
      </c>
      <c r="R5">
        <f t="shared" si="6"/>
        <v>110.1</v>
      </c>
      <c r="S5">
        <f t="shared" si="7"/>
        <v>48.8</v>
      </c>
    </row>
    <row r="6" spans="1:19" x14ac:dyDescent="0.45">
      <c r="A6" t="s">
        <v>31</v>
      </c>
      <c r="B6" t="str">
        <f>_xlfn.XLOOKUP(A6,Sheet1!B:B,Sheet1!A:A)</f>
        <v>1091117229345</v>
      </c>
      <c r="C6" cm="1">
        <f t="array" ref="C6">SUMPRODUCT((Sheet2!$A$2:$A$1000=Sheet6!A6)*Sheet2!$C$2:$C$1000*IFERROR(VLOOKUP(Sheet2!$B$2:$B$1000,Sheet3!$A:$B,2,FALSE),0))/1000</f>
        <v>0.24</v>
      </c>
      <c r="D6">
        <f t="shared" si="2"/>
        <v>0.5</v>
      </c>
      <c r="E6" t="str">
        <f>VLOOKUP(A6,Sheet1!B:C,2,FALSE)</f>
        <v>0.15</v>
      </c>
      <c r="F6">
        <f t="shared" si="3"/>
        <v>0.5</v>
      </c>
      <c r="G6" t="str">
        <f>VLOOKUP(Sheet4!B6,Sheet4!B:C,2,FALSE)</f>
        <v>d</v>
      </c>
      <c r="H6">
        <f>VLOOKUP(A6,Sheet1!B:D,3,FALSE)</f>
        <v>121003</v>
      </c>
      <c r="I6" t="str">
        <f>VLOOKUP(A6,Sheet1!B:H,7,FALSE)</f>
        <v>45.4</v>
      </c>
      <c r="J6">
        <f t="shared" si="0"/>
        <v>1</v>
      </c>
      <c r="K6">
        <f t="shared" si="4"/>
        <v>0</v>
      </c>
      <c r="L6">
        <f>INDEX(Sheet5!$A$2:$T$2,MATCH("fwd_"&amp;LOWER(G6)&amp;"_fixed",Sheet5!$A$1:$T$1,0))</f>
        <v>45.4</v>
      </c>
      <c r="M6">
        <f>INDEX(Sheet5!$A$2:$Z$2,MATCH("fwd_"&amp;LOWER(G6)&amp;"_additional", Sheet5!$A$1:$Z$1, 0)
)</f>
        <v>44.8</v>
      </c>
      <c r="N6">
        <f t="shared" si="5"/>
        <v>45.4</v>
      </c>
      <c r="O6">
        <f>INDEX(
Sheet5!$A$2:$Z$2,
MATCH("rto_"&amp;LOWER(G6)&amp;"_fixed", Sheet5!$A$1:$Z$1, 0)
)</f>
        <v>41.3</v>
      </c>
      <c r="P6">
        <f>INDEX(
Sheet5!$A$2:$Z$2,
MATCH("rto_"&amp;LOWER(G6)&amp;"_additional", Sheet5!$A$1:$Z$1, 0)
)</f>
        <v>44.8</v>
      </c>
      <c r="Q6">
        <f t="shared" si="1"/>
        <v>41.3</v>
      </c>
      <c r="R6">
        <f t="shared" si="6"/>
        <v>86.699999999999989</v>
      </c>
      <c r="S6">
        <f t="shared" si="7"/>
        <v>41.29999999999999</v>
      </c>
    </row>
    <row r="7" spans="1:19" x14ac:dyDescent="0.45">
      <c r="A7" t="s">
        <v>36</v>
      </c>
      <c r="B7" t="str">
        <f>_xlfn.XLOOKUP(A7,Sheet1!B:B,Sheet1!A:A)</f>
        <v>1091117229555</v>
      </c>
      <c r="C7" cm="1">
        <f t="array" ref="C7">SUMPRODUCT((Sheet2!$A$2:$A$1000=Sheet6!A7)*Sheet2!$C$2:$C$1000*IFERROR(VLOOKUP(Sheet2!$B$2:$B$1000,Sheet3!$A:$B,2,FALSE),0))/1000</f>
        <v>0.24</v>
      </c>
      <c r="D7">
        <f t="shared" si="2"/>
        <v>0.5</v>
      </c>
      <c r="E7" t="str">
        <f>VLOOKUP(A7,Sheet1!B:C,2,FALSE)</f>
        <v>0.15</v>
      </c>
      <c r="F7">
        <f t="shared" si="3"/>
        <v>0.5</v>
      </c>
      <c r="G7" t="str">
        <f>VLOOKUP(Sheet4!B7,Sheet4!B:C,2,FALSE)</f>
        <v>d</v>
      </c>
      <c r="H7">
        <f>VLOOKUP(A7,Sheet1!B:D,3,FALSE)</f>
        <v>121003</v>
      </c>
      <c r="I7" t="str">
        <f>VLOOKUP(A7,Sheet1!B:H,7,FALSE)</f>
        <v>45.4</v>
      </c>
      <c r="J7">
        <f t="shared" si="0"/>
        <v>1</v>
      </c>
      <c r="K7">
        <f t="shared" si="4"/>
        <v>0</v>
      </c>
      <c r="L7">
        <f>INDEX(Sheet5!$A$2:$T$2,MATCH("fwd_"&amp;LOWER(G7)&amp;"_fixed",Sheet5!$A$1:$T$1,0))</f>
        <v>45.4</v>
      </c>
      <c r="M7">
        <f>INDEX(Sheet5!$A$2:$Z$2,MATCH("fwd_"&amp;LOWER(G7)&amp;"_additional", Sheet5!$A$1:$Z$1, 0)
)</f>
        <v>44.8</v>
      </c>
      <c r="N7">
        <f t="shared" si="5"/>
        <v>45.4</v>
      </c>
      <c r="O7">
        <f>INDEX(
Sheet5!$A$2:$Z$2,
MATCH("rto_"&amp;LOWER(G7)&amp;"_fixed", Sheet5!$A$1:$Z$1, 0)
)</f>
        <v>41.3</v>
      </c>
      <c r="P7">
        <f>INDEX(
Sheet5!$A$2:$Z$2,
MATCH("rto_"&amp;LOWER(G7)&amp;"_additional", Sheet5!$A$1:$Z$1, 0)
)</f>
        <v>44.8</v>
      </c>
      <c r="Q7">
        <f t="shared" si="1"/>
        <v>41.3</v>
      </c>
      <c r="R7">
        <f t="shared" si="6"/>
        <v>86.699999999999989</v>
      </c>
      <c r="S7">
        <f t="shared" si="7"/>
        <v>41.29999999999999</v>
      </c>
    </row>
    <row r="8" spans="1:19" x14ac:dyDescent="0.45">
      <c r="A8" t="s">
        <v>39</v>
      </c>
      <c r="B8" t="str">
        <f>_xlfn.XLOOKUP(A8,Sheet1!B:B,Sheet1!A:A)</f>
        <v>1091117229776</v>
      </c>
      <c r="C8" cm="1">
        <f t="array" ref="C8">SUMPRODUCT((Sheet2!$A$2:$A$1000=Sheet6!A8)*Sheet2!$C$2:$C$1000*IFERROR(VLOOKUP(Sheet2!$B$2:$B$1000,Sheet3!$A:$B,2,FALSE),0))/1000</f>
        <v>0.84</v>
      </c>
      <c r="D8">
        <f t="shared" si="2"/>
        <v>1</v>
      </c>
      <c r="E8" t="str">
        <f>VLOOKUP(A8,Sheet1!B:C,2,FALSE)</f>
        <v>1</v>
      </c>
      <c r="F8">
        <f t="shared" si="3"/>
        <v>1</v>
      </c>
      <c r="G8" t="str">
        <f>VLOOKUP(Sheet4!B8,Sheet4!B:C,2,FALSE)</f>
        <v>b</v>
      </c>
      <c r="H8">
        <f>VLOOKUP(A8,Sheet1!B:D,3,FALSE)</f>
        <v>121003</v>
      </c>
      <c r="I8" t="str">
        <f>VLOOKUP(A8,Sheet1!B:H,7,FALSE)</f>
        <v>61.3</v>
      </c>
      <c r="J8">
        <f t="shared" si="0"/>
        <v>2</v>
      </c>
      <c r="K8">
        <f t="shared" si="4"/>
        <v>1</v>
      </c>
      <c r="L8">
        <f>INDEX(Sheet5!$A$2:$T$2,MATCH("fwd_"&amp;LOWER(G8)&amp;"_fixed",Sheet5!$A$1:$T$1,0))</f>
        <v>33</v>
      </c>
      <c r="M8">
        <f>INDEX(Sheet5!$A$2:$Z$2,MATCH("fwd_"&amp;LOWER(G8)&amp;"_additional", Sheet5!$A$1:$Z$1, 0)
)</f>
        <v>28.3</v>
      </c>
      <c r="N8">
        <f t="shared" si="5"/>
        <v>61.3</v>
      </c>
      <c r="O8">
        <f>INDEX(
Sheet5!$A$2:$Z$2,
MATCH("rto_"&amp;LOWER(G8)&amp;"_fixed", Sheet5!$A$1:$Z$1, 0)
)</f>
        <v>20.5</v>
      </c>
      <c r="P8">
        <f>INDEX(
Sheet5!$A$2:$Z$2,
MATCH("rto_"&amp;LOWER(G8)&amp;"_additional", Sheet5!$A$1:$Z$1, 0)
)</f>
        <v>28.3</v>
      </c>
      <c r="Q8">
        <f t="shared" si="1"/>
        <v>48.8</v>
      </c>
      <c r="R8">
        <f t="shared" si="6"/>
        <v>110.1</v>
      </c>
      <c r="S8">
        <f t="shared" si="7"/>
        <v>48.8</v>
      </c>
    </row>
    <row r="9" spans="1:19" x14ac:dyDescent="0.45">
      <c r="A9" t="s">
        <v>42</v>
      </c>
      <c r="B9" t="str">
        <f>_xlfn.XLOOKUP(A9,Sheet1!B:B,Sheet1!A:A)</f>
        <v>1091117323112</v>
      </c>
      <c r="C9" cm="1">
        <f t="array" ref="C9">SUMPRODUCT((Sheet2!$A$2:$A$1000=Sheet6!A9)*Sheet2!$C$2:$C$1000*IFERROR(VLOOKUP(Sheet2!$B$2:$B$1000,Sheet3!$A:$B,2,FALSE),0))/1000</f>
        <v>1.1679999999999999</v>
      </c>
      <c r="D9">
        <f t="shared" si="2"/>
        <v>1.5</v>
      </c>
      <c r="E9" t="str">
        <f>VLOOKUP(A9,Sheet1!B:C,2,FALSE)</f>
        <v>1.15</v>
      </c>
      <c r="F9">
        <f t="shared" si="3"/>
        <v>1.5</v>
      </c>
      <c r="G9" t="str">
        <f>VLOOKUP(Sheet4!B9,Sheet4!B:C,2,FALSE)</f>
        <v>b</v>
      </c>
      <c r="H9">
        <f>VLOOKUP(A9,Sheet1!B:D,3,FALSE)</f>
        <v>121003</v>
      </c>
      <c r="I9" t="str">
        <f>VLOOKUP(A9,Sheet1!B:H,7,FALSE)</f>
        <v>89.6</v>
      </c>
      <c r="J9">
        <f t="shared" si="0"/>
        <v>3</v>
      </c>
      <c r="K9">
        <f t="shared" si="4"/>
        <v>2</v>
      </c>
      <c r="L9">
        <f>INDEX(Sheet5!$A$2:$T$2,MATCH("fwd_"&amp;LOWER(G9)&amp;"_fixed",Sheet5!$A$1:$T$1,0))</f>
        <v>33</v>
      </c>
      <c r="M9">
        <f>INDEX(Sheet5!$A$2:$Z$2,MATCH("fwd_"&amp;LOWER(G9)&amp;"_additional", Sheet5!$A$1:$Z$1, 0)
)</f>
        <v>28.3</v>
      </c>
      <c r="N9">
        <f t="shared" si="5"/>
        <v>89.6</v>
      </c>
      <c r="O9">
        <f>INDEX(
Sheet5!$A$2:$Z$2,
MATCH("rto_"&amp;LOWER(G9)&amp;"_fixed", Sheet5!$A$1:$Z$1, 0)
)</f>
        <v>20.5</v>
      </c>
      <c r="P9">
        <f>INDEX(
Sheet5!$A$2:$Z$2,
MATCH("rto_"&amp;LOWER(G9)&amp;"_additional", Sheet5!$A$1:$Z$1, 0)
)</f>
        <v>28.3</v>
      </c>
      <c r="Q9">
        <f t="shared" si="1"/>
        <v>77.099999999999994</v>
      </c>
      <c r="R9">
        <f t="shared" si="6"/>
        <v>166.7</v>
      </c>
      <c r="S9">
        <f t="shared" si="7"/>
        <v>77.099999999999994</v>
      </c>
    </row>
    <row r="10" spans="1:19" x14ac:dyDescent="0.45">
      <c r="A10" t="s">
        <v>47</v>
      </c>
      <c r="B10" t="str">
        <f>_xlfn.XLOOKUP(A10,Sheet1!B:B,Sheet1!A:A)</f>
        <v>1091117323812</v>
      </c>
      <c r="C10" cm="1">
        <f t="array" ref="C10">SUMPRODUCT((Sheet2!$A$2:$A$1000=Sheet6!A10)*Sheet2!$C$2:$C$1000*IFERROR(VLOOKUP(Sheet2!$B$2:$B$1000,Sheet3!$A:$B,2,FALSE),0))/1000</f>
        <v>0.5</v>
      </c>
      <c r="D10">
        <f t="shared" si="2"/>
        <v>0.5</v>
      </c>
      <c r="E10" t="str">
        <f>VLOOKUP(A10,Sheet1!B:C,2,FALSE)</f>
        <v>0.5</v>
      </c>
      <c r="F10">
        <f t="shared" si="3"/>
        <v>0.5</v>
      </c>
      <c r="G10" t="str">
        <f>VLOOKUP(Sheet4!B10,Sheet4!B:C,2,FALSE)</f>
        <v>d</v>
      </c>
      <c r="H10">
        <f>VLOOKUP(A10,Sheet1!B:D,3,FALSE)</f>
        <v>121003</v>
      </c>
      <c r="I10" t="str">
        <f>VLOOKUP(A10,Sheet1!B:H,7,FALSE)</f>
        <v>45.4</v>
      </c>
      <c r="J10">
        <f t="shared" si="0"/>
        <v>1</v>
      </c>
      <c r="K10">
        <f t="shared" si="4"/>
        <v>0</v>
      </c>
      <c r="L10">
        <f>INDEX(Sheet5!$A$2:$T$2,MATCH("fwd_"&amp;LOWER(G10)&amp;"_fixed",Sheet5!$A$1:$T$1,0))</f>
        <v>45.4</v>
      </c>
      <c r="M10">
        <f>INDEX(Sheet5!$A$2:$Z$2,MATCH("fwd_"&amp;LOWER(G10)&amp;"_additional", Sheet5!$A$1:$Z$1, 0)
)</f>
        <v>44.8</v>
      </c>
      <c r="N10">
        <f t="shared" si="5"/>
        <v>45.4</v>
      </c>
      <c r="O10">
        <f>INDEX(
Sheet5!$A$2:$Z$2,
MATCH("rto_"&amp;LOWER(G10)&amp;"_fixed", Sheet5!$A$1:$Z$1, 0)
)</f>
        <v>41.3</v>
      </c>
      <c r="P10">
        <f>INDEX(
Sheet5!$A$2:$Z$2,
MATCH("rto_"&amp;LOWER(G10)&amp;"_additional", Sheet5!$A$1:$Z$1, 0)
)</f>
        <v>44.8</v>
      </c>
      <c r="Q10">
        <f t="shared" si="1"/>
        <v>41.3</v>
      </c>
      <c r="R10">
        <f t="shared" si="6"/>
        <v>86.699999999999989</v>
      </c>
      <c r="S10">
        <f t="shared" si="7"/>
        <v>41.29999999999999</v>
      </c>
    </row>
    <row r="11" spans="1:19" x14ac:dyDescent="0.45">
      <c r="A11" t="s">
        <v>51</v>
      </c>
      <c r="B11" t="str">
        <f>_xlfn.XLOOKUP(A11,Sheet1!B:B,Sheet1!A:A)</f>
        <v>1091117324206</v>
      </c>
      <c r="C11" cm="1">
        <f t="array" ref="C11">SUMPRODUCT((Sheet2!$A$2:$A$1000=Sheet6!A11)*Sheet2!$C$2:$C$1000*IFERROR(VLOOKUP(Sheet2!$B$2:$B$1000,Sheet3!$A:$B,2,FALSE),0))/1000</f>
        <v>0.5</v>
      </c>
      <c r="D11">
        <f t="shared" si="2"/>
        <v>0.5</v>
      </c>
      <c r="E11" t="str">
        <f>VLOOKUP(A11,Sheet1!B:C,2,FALSE)</f>
        <v>0.5</v>
      </c>
      <c r="F11">
        <f t="shared" si="3"/>
        <v>0.5</v>
      </c>
      <c r="G11" t="str">
        <f>VLOOKUP(Sheet4!B11,Sheet4!B:C,2,FALSE)</f>
        <v>d</v>
      </c>
      <c r="H11">
        <f>VLOOKUP(A11,Sheet1!B:D,3,FALSE)</f>
        <v>121003</v>
      </c>
      <c r="I11" t="str">
        <f>VLOOKUP(A11,Sheet1!B:H,7,FALSE)</f>
        <v>45.4</v>
      </c>
      <c r="J11">
        <f t="shared" si="0"/>
        <v>1</v>
      </c>
      <c r="K11">
        <f t="shared" si="4"/>
        <v>0</v>
      </c>
      <c r="L11">
        <f>INDEX(Sheet5!$A$2:$T$2,MATCH("fwd_"&amp;LOWER(G11)&amp;"_fixed",Sheet5!$A$1:$T$1,0))</f>
        <v>45.4</v>
      </c>
      <c r="M11">
        <f>INDEX(Sheet5!$A$2:$Z$2,MATCH("fwd_"&amp;LOWER(G11)&amp;"_additional", Sheet5!$A$1:$Z$1, 0)
)</f>
        <v>44.8</v>
      </c>
      <c r="N11">
        <f t="shared" si="5"/>
        <v>45.4</v>
      </c>
      <c r="O11">
        <f>INDEX(
Sheet5!$A$2:$Z$2,
MATCH("rto_"&amp;LOWER(G11)&amp;"_fixed", Sheet5!$A$1:$Z$1, 0)
)</f>
        <v>41.3</v>
      </c>
      <c r="P11">
        <f>INDEX(
Sheet5!$A$2:$Z$2,
MATCH("rto_"&amp;LOWER(G11)&amp;"_additional", Sheet5!$A$1:$Z$1, 0)
)</f>
        <v>44.8</v>
      </c>
      <c r="Q11">
        <f t="shared" si="1"/>
        <v>41.3</v>
      </c>
      <c r="R11">
        <f t="shared" si="6"/>
        <v>86.699999999999989</v>
      </c>
      <c r="S11">
        <f t="shared" si="7"/>
        <v>41.29999999999999</v>
      </c>
    </row>
    <row r="12" spans="1:19" x14ac:dyDescent="0.45">
      <c r="A12" t="s">
        <v>54</v>
      </c>
      <c r="B12" t="str">
        <f>_xlfn.XLOOKUP(A12,Sheet1!B:B,Sheet1!A:A)</f>
        <v>1091117326612</v>
      </c>
      <c r="C12" cm="1">
        <f t="array" ref="C12">SUMPRODUCT((Sheet2!$A$2:$A$1000=Sheet6!A12)*Sheet2!$C$2:$C$1000*IFERROR(VLOOKUP(Sheet2!$B$2:$B$1000,Sheet3!$A:$B,2,FALSE),0))/1000</f>
        <v>0.60699999999999998</v>
      </c>
      <c r="D12">
        <f t="shared" si="2"/>
        <v>1</v>
      </c>
      <c r="E12" t="str">
        <f>VLOOKUP(A12,Sheet1!B:C,2,FALSE)</f>
        <v>0.79</v>
      </c>
      <c r="F12">
        <f t="shared" si="3"/>
        <v>1</v>
      </c>
      <c r="G12" t="str">
        <f>VLOOKUP(Sheet4!B12,Sheet4!B:C,2,FALSE)</f>
        <v>b</v>
      </c>
      <c r="H12">
        <f>VLOOKUP(A12,Sheet1!B:D,3,FALSE)</f>
        <v>121003</v>
      </c>
      <c r="I12" t="str">
        <f>VLOOKUP(A12,Sheet1!B:H,7,FALSE)</f>
        <v>61.3</v>
      </c>
      <c r="J12">
        <f t="shared" si="0"/>
        <v>2</v>
      </c>
      <c r="K12">
        <f t="shared" si="4"/>
        <v>1</v>
      </c>
      <c r="L12">
        <f>INDEX(Sheet5!$A$2:$T$2,MATCH("fwd_"&amp;LOWER(G12)&amp;"_fixed",Sheet5!$A$1:$T$1,0))</f>
        <v>33</v>
      </c>
      <c r="M12">
        <f>INDEX(Sheet5!$A$2:$Z$2,MATCH("fwd_"&amp;LOWER(G12)&amp;"_additional", Sheet5!$A$1:$Z$1, 0)
)</f>
        <v>28.3</v>
      </c>
      <c r="N12">
        <f t="shared" si="5"/>
        <v>61.3</v>
      </c>
      <c r="O12">
        <f>INDEX(
Sheet5!$A$2:$Z$2,
MATCH("rto_"&amp;LOWER(G12)&amp;"_fixed", Sheet5!$A$1:$Z$1, 0)
)</f>
        <v>20.5</v>
      </c>
      <c r="P12">
        <f>INDEX(
Sheet5!$A$2:$Z$2,
MATCH("rto_"&amp;LOWER(G12)&amp;"_additional", Sheet5!$A$1:$Z$1, 0)
)</f>
        <v>28.3</v>
      </c>
      <c r="Q12">
        <f t="shared" si="1"/>
        <v>48.8</v>
      </c>
      <c r="R12">
        <f t="shared" si="6"/>
        <v>110.1</v>
      </c>
      <c r="S12">
        <f t="shared" si="7"/>
        <v>48.8</v>
      </c>
    </row>
    <row r="13" spans="1:19" x14ac:dyDescent="0.45">
      <c r="A13" t="s">
        <v>58</v>
      </c>
      <c r="B13" t="str">
        <f>_xlfn.XLOOKUP(A13,Sheet1!B:B,Sheet1!A:A)</f>
        <v>1091117327172</v>
      </c>
      <c r="C13" cm="1">
        <f t="array" ref="C13">SUMPRODUCT((Sheet2!$A$2:$A$1000=Sheet6!A13)*Sheet2!$C$2:$C$1000*IFERROR(VLOOKUP(Sheet2!$B$2:$B$1000,Sheet3!$A:$B,2,FALSE),0))/1000</f>
        <v>0.60699999999999998</v>
      </c>
      <c r="D13">
        <f t="shared" si="2"/>
        <v>1</v>
      </c>
      <c r="E13" t="str">
        <f>VLOOKUP(A13,Sheet1!B:C,2,FALSE)</f>
        <v>0.72</v>
      </c>
      <c r="F13">
        <f t="shared" si="3"/>
        <v>1</v>
      </c>
      <c r="G13" t="str">
        <f>VLOOKUP(Sheet4!B13,Sheet4!B:C,2,FALSE)</f>
        <v>d</v>
      </c>
      <c r="H13">
        <f>VLOOKUP(A13,Sheet1!B:D,3,FALSE)</f>
        <v>121003</v>
      </c>
      <c r="I13" t="str">
        <f>VLOOKUP(A13,Sheet1!B:H,7,FALSE)</f>
        <v>90.2</v>
      </c>
      <c r="J13">
        <f t="shared" si="0"/>
        <v>2</v>
      </c>
      <c r="K13">
        <f t="shared" si="4"/>
        <v>1</v>
      </c>
      <c r="L13">
        <f>INDEX(Sheet5!$A$2:$T$2,MATCH("fwd_"&amp;LOWER(G13)&amp;"_fixed",Sheet5!$A$1:$T$1,0))</f>
        <v>45.4</v>
      </c>
      <c r="M13">
        <f>INDEX(Sheet5!$A$2:$Z$2,MATCH("fwd_"&amp;LOWER(G13)&amp;"_additional", Sheet5!$A$1:$Z$1, 0)
)</f>
        <v>44.8</v>
      </c>
      <c r="N13">
        <f t="shared" si="5"/>
        <v>90.199999999999989</v>
      </c>
      <c r="O13">
        <f>INDEX(
Sheet5!$A$2:$Z$2,
MATCH("rto_"&amp;LOWER(G13)&amp;"_fixed", Sheet5!$A$1:$Z$1, 0)
)</f>
        <v>41.3</v>
      </c>
      <c r="P13">
        <f>INDEX(
Sheet5!$A$2:$Z$2,
MATCH("rto_"&amp;LOWER(G13)&amp;"_additional", Sheet5!$A$1:$Z$1, 0)
)</f>
        <v>44.8</v>
      </c>
      <c r="Q13">
        <f t="shared" si="1"/>
        <v>86.1</v>
      </c>
      <c r="R13">
        <f t="shared" si="6"/>
        <v>176.29999999999998</v>
      </c>
      <c r="S13">
        <f t="shared" si="7"/>
        <v>86.09999999999998</v>
      </c>
    </row>
    <row r="14" spans="1:19" x14ac:dyDescent="0.45">
      <c r="A14" t="s">
        <v>62</v>
      </c>
      <c r="B14" t="str">
        <f>_xlfn.XLOOKUP(A14,Sheet1!B:B,Sheet1!A:A)</f>
        <v>1091117327275</v>
      </c>
      <c r="C14" cm="1">
        <f t="array" ref="C14">SUMPRODUCT((Sheet2!$A$2:$A$1000=Sheet6!A14)*Sheet2!$C$2:$C$1000*IFERROR(VLOOKUP(Sheet2!$B$2:$B$1000,Sheet3!$A:$B,2,FALSE),0))/1000</f>
        <v>1.08</v>
      </c>
      <c r="D14">
        <f t="shared" si="2"/>
        <v>1.5</v>
      </c>
      <c r="E14" t="str">
        <f>VLOOKUP(A14,Sheet1!B:C,2,FALSE)</f>
        <v>1.08</v>
      </c>
      <c r="F14">
        <f t="shared" si="3"/>
        <v>1.5</v>
      </c>
      <c r="G14" t="str">
        <f>VLOOKUP(Sheet4!B14,Sheet4!B:C,2,FALSE)</f>
        <v>b</v>
      </c>
      <c r="H14">
        <f>VLOOKUP(A14,Sheet1!B:D,3,FALSE)</f>
        <v>121003</v>
      </c>
      <c r="I14" t="str">
        <f>VLOOKUP(A14,Sheet1!B:H,7,FALSE)</f>
        <v>89.6</v>
      </c>
      <c r="J14">
        <f t="shared" si="0"/>
        <v>3</v>
      </c>
      <c r="K14">
        <f t="shared" si="4"/>
        <v>2</v>
      </c>
      <c r="L14">
        <f>INDEX(Sheet5!$A$2:$T$2,MATCH("fwd_"&amp;LOWER(G14)&amp;"_fixed",Sheet5!$A$1:$T$1,0))</f>
        <v>33</v>
      </c>
      <c r="M14">
        <f>INDEX(Sheet5!$A$2:$Z$2,MATCH("fwd_"&amp;LOWER(G14)&amp;"_additional", Sheet5!$A$1:$Z$1, 0)
)</f>
        <v>28.3</v>
      </c>
      <c r="N14">
        <f t="shared" si="5"/>
        <v>89.6</v>
      </c>
      <c r="O14">
        <f>INDEX(
Sheet5!$A$2:$Z$2,
MATCH("rto_"&amp;LOWER(G14)&amp;"_fixed", Sheet5!$A$1:$Z$1, 0)
)</f>
        <v>20.5</v>
      </c>
      <c r="P14">
        <f>INDEX(
Sheet5!$A$2:$Z$2,
MATCH("rto_"&amp;LOWER(G14)&amp;"_additional", Sheet5!$A$1:$Z$1, 0)
)</f>
        <v>28.3</v>
      </c>
      <c r="Q14">
        <f t="shared" si="1"/>
        <v>77.099999999999994</v>
      </c>
      <c r="R14">
        <f t="shared" si="6"/>
        <v>166.7</v>
      </c>
      <c r="S14">
        <f t="shared" si="7"/>
        <v>77.099999999999994</v>
      </c>
    </row>
    <row r="15" spans="1:19" x14ac:dyDescent="0.45">
      <c r="A15" t="s">
        <v>66</v>
      </c>
      <c r="B15" t="str">
        <f>_xlfn.XLOOKUP(A15,Sheet1!B:B,Sheet1!A:A)</f>
        <v>1091117327312</v>
      </c>
      <c r="C15" cm="1">
        <f t="array" ref="C15">SUMPRODUCT((Sheet2!$A$2:$A$1000=Sheet6!A15)*Sheet2!$C$2:$C$1000*IFERROR(VLOOKUP(Sheet2!$B$2:$B$1000,Sheet3!$A:$B,2,FALSE),0))/1000</f>
        <v>0.93</v>
      </c>
      <c r="D15">
        <f t="shared" si="2"/>
        <v>1</v>
      </c>
      <c r="E15" t="str">
        <f>VLOOKUP(A15,Sheet1!B:C,2,FALSE)</f>
        <v>1</v>
      </c>
      <c r="F15">
        <f t="shared" si="3"/>
        <v>1</v>
      </c>
      <c r="G15" t="str">
        <f>VLOOKUP(Sheet4!B15,Sheet4!B:C,2,FALSE)</f>
        <v>d</v>
      </c>
      <c r="H15">
        <f>VLOOKUP(A15,Sheet1!B:D,3,FALSE)</f>
        <v>121003</v>
      </c>
      <c r="I15" t="str">
        <f>VLOOKUP(A15,Sheet1!B:H,7,FALSE)</f>
        <v>90.2</v>
      </c>
      <c r="J15">
        <f t="shared" si="0"/>
        <v>2</v>
      </c>
      <c r="K15">
        <f t="shared" si="4"/>
        <v>1</v>
      </c>
      <c r="L15">
        <f>INDEX(Sheet5!$A$2:$T$2,MATCH("fwd_"&amp;LOWER(G15)&amp;"_fixed",Sheet5!$A$1:$T$1,0))</f>
        <v>45.4</v>
      </c>
      <c r="M15">
        <f>INDEX(Sheet5!$A$2:$Z$2,MATCH("fwd_"&amp;LOWER(G15)&amp;"_additional", Sheet5!$A$1:$Z$1, 0)
)</f>
        <v>44.8</v>
      </c>
      <c r="N15">
        <f t="shared" si="5"/>
        <v>90.199999999999989</v>
      </c>
      <c r="O15">
        <f>INDEX(
Sheet5!$A$2:$Z$2,
MATCH("rto_"&amp;LOWER(G15)&amp;"_fixed", Sheet5!$A$1:$Z$1, 0)
)</f>
        <v>41.3</v>
      </c>
      <c r="P15">
        <f>INDEX(
Sheet5!$A$2:$Z$2,
MATCH("rto_"&amp;LOWER(G15)&amp;"_additional", Sheet5!$A$1:$Z$1, 0)
)</f>
        <v>44.8</v>
      </c>
      <c r="Q15">
        <f t="shared" si="1"/>
        <v>86.1</v>
      </c>
      <c r="R15">
        <f t="shared" si="6"/>
        <v>176.29999999999998</v>
      </c>
      <c r="S15">
        <f t="shared" si="7"/>
        <v>86.09999999999998</v>
      </c>
    </row>
    <row r="16" spans="1:19" x14ac:dyDescent="0.45">
      <c r="A16" t="s">
        <v>69</v>
      </c>
      <c r="B16" t="str">
        <f>_xlfn.XLOOKUP(A16,Sheet1!B:B,Sheet1!A:A)</f>
        <v>1091117327695</v>
      </c>
      <c r="C16" cm="1">
        <f t="array" ref="C16">SUMPRODUCT((Sheet2!$A$2:$A$1000=Sheet6!A16)*Sheet2!$C$2:$C$1000*IFERROR(VLOOKUP(Sheet2!$B$2:$B$1000,Sheet3!$A:$B,2,FALSE),0))/1000</f>
        <v>0.24</v>
      </c>
      <c r="D16">
        <f t="shared" si="2"/>
        <v>0.5</v>
      </c>
      <c r="E16" t="str">
        <f>VLOOKUP(A16,Sheet1!B:C,2,FALSE)</f>
        <v>0.15</v>
      </c>
      <c r="F16">
        <f t="shared" si="3"/>
        <v>0.5</v>
      </c>
      <c r="G16" t="str">
        <f>VLOOKUP(Sheet4!B16,Sheet4!B:C,2,FALSE)</f>
        <v>d</v>
      </c>
      <c r="H16">
        <f>VLOOKUP(A16,Sheet1!B:D,3,FALSE)</f>
        <v>121003</v>
      </c>
      <c r="I16" t="str">
        <f>VLOOKUP(A16,Sheet1!B:H,7,FALSE)</f>
        <v>45.4</v>
      </c>
      <c r="J16">
        <f t="shared" si="0"/>
        <v>1</v>
      </c>
      <c r="K16">
        <f t="shared" si="4"/>
        <v>0</v>
      </c>
      <c r="L16">
        <f>INDEX(Sheet5!$A$2:$T$2,MATCH("fwd_"&amp;LOWER(G16)&amp;"_fixed",Sheet5!$A$1:$T$1,0))</f>
        <v>45.4</v>
      </c>
      <c r="M16">
        <f>INDEX(Sheet5!$A$2:$Z$2,MATCH("fwd_"&amp;LOWER(G16)&amp;"_additional", Sheet5!$A$1:$Z$1, 0)
)</f>
        <v>44.8</v>
      </c>
      <c r="N16">
        <f t="shared" si="5"/>
        <v>45.4</v>
      </c>
      <c r="O16">
        <f>INDEX(
Sheet5!$A$2:$Z$2,
MATCH("rto_"&amp;LOWER(G16)&amp;"_fixed", Sheet5!$A$1:$Z$1, 0)
)</f>
        <v>41.3</v>
      </c>
      <c r="P16">
        <f>INDEX(
Sheet5!$A$2:$Z$2,
MATCH("rto_"&amp;LOWER(G16)&amp;"_additional", Sheet5!$A$1:$Z$1, 0)
)</f>
        <v>44.8</v>
      </c>
      <c r="Q16">
        <f t="shared" si="1"/>
        <v>41.3</v>
      </c>
      <c r="R16">
        <f t="shared" si="6"/>
        <v>86.699999999999989</v>
      </c>
      <c r="S16">
        <f t="shared" si="7"/>
        <v>41.29999999999999</v>
      </c>
    </row>
    <row r="17" spans="1:19" x14ac:dyDescent="0.45">
      <c r="A17" t="s">
        <v>72</v>
      </c>
      <c r="B17" t="str">
        <f>_xlfn.XLOOKUP(A17,Sheet1!B:B,Sheet1!A:A)</f>
        <v>1091117435005</v>
      </c>
      <c r="C17" cm="1">
        <f t="array" ref="C17">SUMPRODUCT((Sheet2!$A$2:$A$1000=Sheet6!A17)*Sheet2!$C$2:$C$1000*IFERROR(VLOOKUP(Sheet2!$B$2:$B$1000,Sheet3!$A:$B,2,FALSE),0))/1000</f>
        <v>1.157</v>
      </c>
      <c r="D17">
        <f t="shared" si="2"/>
        <v>1.5</v>
      </c>
      <c r="E17" t="str">
        <f>VLOOKUP(A17,Sheet1!B:C,2,FALSE)</f>
        <v>1.28</v>
      </c>
      <c r="F17">
        <f t="shared" si="3"/>
        <v>1.5</v>
      </c>
      <c r="G17" t="str">
        <f>VLOOKUP(Sheet4!B17,Sheet4!B:C,2,FALSE)</f>
        <v>d</v>
      </c>
      <c r="H17">
        <f>VLOOKUP(A17,Sheet1!B:D,3,FALSE)</f>
        <v>121003</v>
      </c>
      <c r="I17" t="str">
        <f>VLOOKUP(A17,Sheet1!B:H,7,FALSE)</f>
        <v>135</v>
      </c>
      <c r="J17">
        <f t="shared" si="0"/>
        <v>3</v>
      </c>
      <c r="K17">
        <f t="shared" si="4"/>
        <v>2</v>
      </c>
      <c r="L17">
        <f>INDEX(Sheet5!$A$2:$T$2,MATCH("fwd_"&amp;LOWER(G17)&amp;"_fixed",Sheet5!$A$1:$T$1,0))</f>
        <v>45.4</v>
      </c>
      <c r="M17">
        <f>INDEX(Sheet5!$A$2:$Z$2,MATCH("fwd_"&amp;LOWER(G17)&amp;"_additional", Sheet5!$A$1:$Z$1, 0)
)</f>
        <v>44.8</v>
      </c>
      <c r="N17">
        <f t="shared" si="5"/>
        <v>135</v>
      </c>
      <c r="O17">
        <f>INDEX(
Sheet5!$A$2:$Z$2,
MATCH("rto_"&amp;LOWER(G17)&amp;"_fixed", Sheet5!$A$1:$Z$1, 0)
)</f>
        <v>41.3</v>
      </c>
      <c r="P17">
        <f>INDEX(
Sheet5!$A$2:$Z$2,
MATCH("rto_"&amp;LOWER(G17)&amp;"_additional", Sheet5!$A$1:$Z$1, 0)
)</f>
        <v>44.8</v>
      </c>
      <c r="Q17">
        <f t="shared" si="1"/>
        <v>130.89999999999998</v>
      </c>
      <c r="R17">
        <f t="shared" si="6"/>
        <v>265.89999999999998</v>
      </c>
      <c r="S17">
        <f t="shared" si="7"/>
        <v>130.89999999999998</v>
      </c>
    </row>
    <row r="18" spans="1:19" x14ac:dyDescent="0.45">
      <c r="A18" t="s">
        <v>76</v>
      </c>
      <c r="B18" t="str">
        <f>_xlfn.XLOOKUP(A18,Sheet1!B:B,Sheet1!A:A)</f>
        <v>1091117435134</v>
      </c>
      <c r="C18" cm="1">
        <f t="array" ref="C18">SUMPRODUCT((Sheet2!$A$2:$A$1000=Sheet6!A18)*Sheet2!$C$2:$C$1000*IFERROR(VLOOKUP(Sheet2!$B$2:$B$1000,Sheet3!$A:$B,2,FALSE),0))/1000</f>
        <v>0.34300000000000003</v>
      </c>
      <c r="D18">
        <f t="shared" si="2"/>
        <v>0.5</v>
      </c>
      <c r="E18" t="str">
        <f>VLOOKUP(A18,Sheet1!B:C,2,FALSE)</f>
        <v>0.5</v>
      </c>
      <c r="F18">
        <f t="shared" si="3"/>
        <v>0.5</v>
      </c>
      <c r="G18" t="str">
        <f>VLOOKUP(Sheet4!B18,Sheet4!B:C,2,FALSE)</f>
        <v>b</v>
      </c>
      <c r="H18">
        <f>VLOOKUP(A18,Sheet1!B:D,3,FALSE)</f>
        <v>121003</v>
      </c>
      <c r="I18" t="str">
        <f>VLOOKUP(A18,Sheet1!B:H,7,FALSE)</f>
        <v>33</v>
      </c>
      <c r="J18">
        <f t="shared" si="0"/>
        <v>1</v>
      </c>
      <c r="K18">
        <f t="shared" si="4"/>
        <v>0</v>
      </c>
      <c r="L18">
        <f>INDEX(Sheet5!$A$2:$T$2,MATCH("fwd_"&amp;LOWER(G18)&amp;"_fixed",Sheet5!$A$1:$T$1,0))</f>
        <v>33</v>
      </c>
      <c r="M18">
        <f>INDEX(Sheet5!$A$2:$Z$2,MATCH("fwd_"&amp;LOWER(G18)&amp;"_additional", Sheet5!$A$1:$Z$1, 0)
)</f>
        <v>28.3</v>
      </c>
      <c r="N18">
        <f t="shared" si="5"/>
        <v>33</v>
      </c>
      <c r="O18">
        <f>INDEX(
Sheet5!$A$2:$Z$2,
MATCH("rto_"&amp;LOWER(G18)&amp;"_fixed", Sheet5!$A$1:$Z$1, 0)
)</f>
        <v>20.5</v>
      </c>
      <c r="P18">
        <f>INDEX(
Sheet5!$A$2:$Z$2,
MATCH("rto_"&amp;LOWER(G18)&amp;"_additional", Sheet5!$A$1:$Z$1, 0)
)</f>
        <v>28.3</v>
      </c>
      <c r="Q18">
        <f t="shared" si="1"/>
        <v>20.5</v>
      </c>
      <c r="R18">
        <f t="shared" si="6"/>
        <v>53.5</v>
      </c>
      <c r="S18">
        <f t="shared" si="7"/>
        <v>20.5</v>
      </c>
    </row>
    <row r="19" spans="1:19" x14ac:dyDescent="0.45">
      <c r="A19" t="s">
        <v>79</v>
      </c>
      <c r="B19" t="str">
        <f>_xlfn.XLOOKUP(A19,Sheet1!B:B,Sheet1!A:A)</f>
        <v>1091117435370</v>
      </c>
      <c r="C19" cm="1">
        <f t="array" ref="C19">SUMPRODUCT((Sheet2!$A$2:$A$1000=Sheet6!A19)*Sheet2!$C$2:$C$1000*IFERROR(VLOOKUP(Sheet2!$B$2:$B$1000,Sheet3!$A:$B,2,FALSE),0))/1000</f>
        <v>0.60699999999999998</v>
      </c>
      <c r="D19">
        <f t="shared" si="2"/>
        <v>1</v>
      </c>
      <c r="E19" t="str">
        <f>VLOOKUP(A19,Sheet1!B:C,2,FALSE)</f>
        <v>0.79</v>
      </c>
      <c r="F19">
        <f t="shared" si="3"/>
        <v>1</v>
      </c>
      <c r="G19" t="str">
        <f>VLOOKUP(Sheet4!B19,Sheet4!B:C,2,FALSE)</f>
        <v>d</v>
      </c>
      <c r="H19">
        <f>VLOOKUP(A19,Sheet1!B:D,3,FALSE)</f>
        <v>121003</v>
      </c>
      <c r="I19" t="str">
        <f>VLOOKUP(A19,Sheet1!B:H,7,FALSE)</f>
        <v>90.2</v>
      </c>
      <c r="J19">
        <f t="shared" si="0"/>
        <v>2</v>
      </c>
      <c r="K19">
        <f t="shared" si="4"/>
        <v>1</v>
      </c>
      <c r="L19">
        <f>INDEX(Sheet5!$A$2:$T$2,MATCH("fwd_"&amp;LOWER(G19)&amp;"_fixed",Sheet5!$A$1:$T$1,0))</f>
        <v>45.4</v>
      </c>
      <c r="M19">
        <f>INDEX(Sheet5!$A$2:$Z$2,MATCH("fwd_"&amp;LOWER(G19)&amp;"_additional", Sheet5!$A$1:$Z$1, 0)
)</f>
        <v>44.8</v>
      </c>
      <c r="N19">
        <f t="shared" si="5"/>
        <v>90.199999999999989</v>
      </c>
      <c r="O19">
        <f>INDEX(
Sheet5!$A$2:$Z$2,
MATCH("rto_"&amp;LOWER(G19)&amp;"_fixed", Sheet5!$A$1:$Z$1, 0)
)</f>
        <v>41.3</v>
      </c>
      <c r="P19">
        <f>INDEX(
Sheet5!$A$2:$Z$2,
MATCH("rto_"&amp;LOWER(G19)&amp;"_additional", Sheet5!$A$1:$Z$1, 0)
)</f>
        <v>44.8</v>
      </c>
      <c r="Q19">
        <f t="shared" si="1"/>
        <v>86.1</v>
      </c>
      <c r="R19">
        <f t="shared" si="6"/>
        <v>176.29999999999998</v>
      </c>
      <c r="S19">
        <f t="shared" si="7"/>
        <v>86.09999999999998</v>
      </c>
    </row>
    <row r="20" spans="1:19" x14ac:dyDescent="0.45">
      <c r="A20" t="s">
        <v>82</v>
      </c>
      <c r="B20" t="str">
        <f>_xlfn.XLOOKUP(A20,Sheet1!B:B,Sheet1!A:A)</f>
        <v>1091117435661</v>
      </c>
      <c r="C20" cm="1">
        <f t="array" ref="C20">SUMPRODUCT((Sheet2!$A$2:$A$1000=Sheet6!A20)*Sheet2!$C$2:$C$1000*IFERROR(VLOOKUP(Sheet2!$B$2:$B$1000,Sheet3!$A:$B,2,FALSE),0))/1000</f>
        <v>0.245</v>
      </c>
      <c r="D20">
        <f t="shared" si="2"/>
        <v>0.5</v>
      </c>
      <c r="E20" t="str">
        <f>VLOOKUP(A20,Sheet1!B:C,2,FALSE)</f>
        <v>0.2</v>
      </c>
      <c r="F20">
        <f t="shared" si="3"/>
        <v>0.5</v>
      </c>
      <c r="G20" t="str">
        <f>VLOOKUP(Sheet4!B20,Sheet4!B:C,2,FALSE)</f>
        <v>e</v>
      </c>
      <c r="H20">
        <f>VLOOKUP(A20,Sheet1!B:D,3,FALSE)</f>
        <v>121003</v>
      </c>
      <c r="I20" t="str">
        <f>VLOOKUP(A20,Sheet1!B:H,7,FALSE)</f>
        <v>107.3</v>
      </c>
      <c r="J20">
        <f t="shared" si="0"/>
        <v>1</v>
      </c>
      <c r="K20">
        <f t="shared" si="4"/>
        <v>0</v>
      </c>
      <c r="L20">
        <f>INDEX(Sheet5!$A$2:$T$2,MATCH("fwd_"&amp;LOWER(G20)&amp;"_fixed",Sheet5!$A$1:$T$1,0))</f>
        <v>56.6</v>
      </c>
      <c r="M20">
        <f>INDEX(Sheet5!$A$2:$Z$2,MATCH("fwd_"&amp;LOWER(G20)&amp;"_additional", Sheet5!$A$1:$Z$1, 0)
)</f>
        <v>55.5</v>
      </c>
      <c r="N20">
        <f t="shared" si="5"/>
        <v>56.6</v>
      </c>
      <c r="O20">
        <f>INDEX(
Sheet5!$A$2:$Z$2,
MATCH("rto_"&amp;LOWER(G20)&amp;"_fixed", Sheet5!$A$1:$Z$1, 0)
)</f>
        <v>50.7</v>
      </c>
      <c r="P20">
        <f>INDEX(
Sheet5!$A$2:$Z$2,
MATCH("rto_"&amp;LOWER(G20)&amp;"_additional", Sheet5!$A$1:$Z$1, 0)
)</f>
        <v>55.5</v>
      </c>
      <c r="Q20">
        <f t="shared" si="1"/>
        <v>50.7</v>
      </c>
      <c r="R20">
        <f t="shared" si="6"/>
        <v>107.30000000000001</v>
      </c>
      <c r="S20">
        <f>R20-I20</f>
        <v>0</v>
      </c>
    </row>
    <row r="21" spans="1:19" x14ac:dyDescent="0.45">
      <c r="A21" t="s">
        <v>89</v>
      </c>
      <c r="B21" t="str">
        <f>_xlfn.XLOOKUP(A21,Sheet1!B:B,Sheet1!A:A)</f>
        <v>1091117436383</v>
      </c>
      <c r="C21" cm="1">
        <f t="array" ref="C21">SUMPRODUCT((Sheet2!$A$2:$A$1000=Sheet6!A21)*Sheet2!$C$2:$C$1000*IFERROR(VLOOKUP(Sheet2!$B$2:$B$1000,Sheet3!$A:$B,2,FALSE),0))/1000</f>
        <v>0.60699999999999998</v>
      </c>
      <c r="D21">
        <f t="shared" si="2"/>
        <v>1</v>
      </c>
      <c r="E21" t="str">
        <f>VLOOKUP(A21,Sheet1!B:C,2,FALSE)</f>
        <v>0.79</v>
      </c>
      <c r="F21">
        <f t="shared" si="3"/>
        <v>1</v>
      </c>
      <c r="G21" t="str">
        <f>VLOOKUP(Sheet4!B21,Sheet4!B:C,2,FALSE)</f>
        <v>b</v>
      </c>
      <c r="H21">
        <f>VLOOKUP(A21,Sheet1!B:D,3,FALSE)</f>
        <v>121003</v>
      </c>
      <c r="I21" t="str">
        <f>VLOOKUP(A21,Sheet1!B:H,7,FALSE)</f>
        <v>61.3</v>
      </c>
      <c r="J21">
        <f t="shared" si="0"/>
        <v>2</v>
      </c>
      <c r="K21">
        <f t="shared" si="4"/>
        <v>1</v>
      </c>
      <c r="L21">
        <f>INDEX(Sheet5!$A$2:$T$2,MATCH("fwd_"&amp;LOWER(G21)&amp;"_fixed",Sheet5!$A$1:$T$1,0))</f>
        <v>33</v>
      </c>
      <c r="M21">
        <f>INDEX(Sheet5!$A$2:$Z$2,MATCH("fwd_"&amp;LOWER(G21)&amp;"_additional", Sheet5!$A$1:$Z$1, 0)
)</f>
        <v>28.3</v>
      </c>
      <c r="N21">
        <f t="shared" si="5"/>
        <v>61.3</v>
      </c>
      <c r="O21">
        <f>INDEX(
Sheet5!$A$2:$Z$2,
MATCH("rto_"&amp;LOWER(G21)&amp;"_fixed", Sheet5!$A$1:$Z$1, 0)
)</f>
        <v>20.5</v>
      </c>
      <c r="P21">
        <f>INDEX(
Sheet5!$A$2:$Z$2,
MATCH("rto_"&amp;LOWER(G21)&amp;"_additional", Sheet5!$A$1:$Z$1, 0)
)</f>
        <v>28.3</v>
      </c>
      <c r="Q21">
        <f t="shared" si="1"/>
        <v>48.8</v>
      </c>
      <c r="R21">
        <f t="shared" si="6"/>
        <v>110.1</v>
      </c>
      <c r="S21">
        <f t="shared" si="7"/>
        <v>48.8</v>
      </c>
    </row>
    <row r="22" spans="1:19" x14ac:dyDescent="0.45">
      <c r="A22" t="s">
        <v>92</v>
      </c>
      <c r="B22" t="str">
        <f>_xlfn.XLOOKUP(A22,Sheet1!B:B,Sheet1!A:A)</f>
        <v>1091117436464</v>
      </c>
      <c r="C22" cm="1">
        <f t="array" ref="C22">SUMPRODUCT((Sheet2!$A$2:$A$1000=Sheet6!A22)*Sheet2!$C$2:$C$1000*IFERROR(VLOOKUP(Sheet2!$B$2:$B$1000,Sheet3!$A:$B,2,FALSE),0))/1000</f>
        <v>0.73399999999999999</v>
      </c>
      <c r="D22">
        <f t="shared" si="2"/>
        <v>1</v>
      </c>
      <c r="E22" t="str">
        <f>VLOOKUP(A22,Sheet1!B:C,2,FALSE)</f>
        <v>0.86</v>
      </c>
      <c r="F22">
        <f t="shared" si="3"/>
        <v>1</v>
      </c>
      <c r="G22" t="str">
        <f>VLOOKUP(Sheet4!B22,Sheet4!B:C,2,FALSE)</f>
        <v>d</v>
      </c>
      <c r="H22">
        <f>VLOOKUP(A22,Sheet1!B:D,3,FALSE)</f>
        <v>121003</v>
      </c>
      <c r="I22" t="str">
        <f>VLOOKUP(A22,Sheet1!B:H,7,FALSE)</f>
        <v>90.2</v>
      </c>
      <c r="J22">
        <f t="shared" si="0"/>
        <v>2</v>
      </c>
      <c r="K22">
        <f t="shared" si="4"/>
        <v>1</v>
      </c>
      <c r="L22">
        <f>INDEX(Sheet5!$A$2:$T$2,MATCH("fwd_"&amp;LOWER(G22)&amp;"_fixed",Sheet5!$A$1:$T$1,0))</f>
        <v>45.4</v>
      </c>
      <c r="M22">
        <f>INDEX(Sheet5!$A$2:$Z$2,MATCH("fwd_"&amp;LOWER(G22)&amp;"_additional", Sheet5!$A$1:$Z$1, 0)
)</f>
        <v>44.8</v>
      </c>
      <c r="N22">
        <f t="shared" si="5"/>
        <v>90.199999999999989</v>
      </c>
      <c r="O22">
        <f>INDEX(
Sheet5!$A$2:$Z$2,
MATCH("rto_"&amp;LOWER(G22)&amp;"_fixed", Sheet5!$A$1:$Z$1, 0)
)</f>
        <v>41.3</v>
      </c>
      <c r="P22">
        <f>INDEX(
Sheet5!$A$2:$Z$2,
MATCH("rto_"&amp;LOWER(G22)&amp;"_additional", Sheet5!$A$1:$Z$1, 0)
)</f>
        <v>44.8</v>
      </c>
      <c r="Q22">
        <f t="shared" si="1"/>
        <v>86.1</v>
      </c>
      <c r="R22">
        <f t="shared" si="6"/>
        <v>176.29999999999998</v>
      </c>
      <c r="S22">
        <f t="shared" si="7"/>
        <v>86.09999999999998</v>
      </c>
    </row>
    <row r="23" spans="1:19" x14ac:dyDescent="0.45">
      <c r="A23" t="s">
        <v>96</v>
      </c>
      <c r="B23" t="str">
        <f>_xlfn.XLOOKUP(A23,Sheet1!B:B,Sheet1!A:A)</f>
        <v>1091117437050</v>
      </c>
      <c r="C23" cm="1">
        <f t="array" ref="C23">SUMPRODUCT((Sheet2!$A$2:$A$1000=Sheet6!A23)*Sheet2!$C$2:$C$1000*IFERROR(VLOOKUP(Sheet2!$B$2:$B$1000,Sheet3!$A:$B,2,FALSE),0))/1000</f>
        <v>1.1830000000000001</v>
      </c>
      <c r="D23">
        <f t="shared" si="2"/>
        <v>1.5</v>
      </c>
      <c r="E23" t="str">
        <f>VLOOKUP(A23,Sheet1!B:C,2,FALSE)</f>
        <v>1.2</v>
      </c>
      <c r="F23">
        <f t="shared" si="3"/>
        <v>1.5</v>
      </c>
      <c r="G23" t="str">
        <f>VLOOKUP(Sheet4!B23,Sheet4!B:C,2,FALSE)</f>
        <v>b</v>
      </c>
      <c r="H23">
        <f>VLOOKUP(A23,Sheet1!B:D,3,FALSE)</f>
        <v>121003</v>
      </c>
      <c r="I23" t="str">
        <f>VLOOKUP(A23,Sheet1!B:H,7,FALSE)</f>
        <v>89.6</v>
      </c>
      <c r="J23">
        <f t="shared" si="0"/>
        <v>3</v>
      </c>
      <c r="K23">
        <f t="shared" si="4"/>
        <v>2</v>
      </c>
      <c r="L23">
        <f>INDEX(Sheet5!$A$2:$T$2,MATCH("fwd_"&amp;LOWER(G23)&amp;"_fixed",Sheet5!$A$1:$T$1,0))</f>
        <v>33</v>
      </c>
      <c r="M23">
        <f>INDEX(Sheet5!$A$2:$Z$2,MATCH("fwd_"&amp;LOWER(G23)&amp;"_additional", Sheet5!$A$1:$Z$1, 0)
)</f>
        <v>28.3</v>
      </c>
      <c r="N23">
        <f t="shared" si="5"/>
        <v>89.6</v>
      </c>
      <c r="O23">
        <f>INDEX(
Sheet5!$A$2:$Z$2,
MATCH("rto_"&amp;LOWER(G23)&amp;"_fixed", Sheet5!$A$1:$Z$1, 0)
)</f>
        <v>20.5</v>
      </c>
      <c r="P23">
        <f>INDEX(
Sheet5!$A$2:$Z$2,
MATCH("rto_"&amp;LOWER(G23)&amp;"_additional", Sheet5!$A$1:$Z$1, 0)
)</f>
        <v>28.3</v>
      </c>
      <c r="Q23">
        <f t="shared" si="1"/>
        <v>77.099999999999994</v>
      </c>
      <c r="R23">
        <f t="shared" si="6"/>
        <v>166.7</v>
      </c>
      <c r="S23">
        <f t="shared" si="7"/>
        <v>77.099999999999994</v>
      </c>
    </row>
    <row r="24" spans="1:19" x14ac:dyDescent="0.45">
      <c r="A24" t="s">
        <v>100</v>
      </c>
      <c r="B24" t="str">
        <f>_xlfn.XLOOKUP(A24,Sheet1!B:B,Sheet1!A:A)</f>
        <v>1091117327496</v>
      </c>
      <c r="C24" cm="1">
        <f t="array" ref="C24">SUMPRODUCT((Sheet2!$A$2:$A$1000=Sheet6!A24)*Sheet2!$C$2:$C$1000*IFERROR(VLOOKUP(Sheet2!$B$2:$B$1000,Sheet3!$A:$B,2,FALSE),0))/1000</f>
        <v>0.72099999999999997</v>
      </c>
      <c r="D24">
        <f t="shared" si="2"/>
        <v>1</v>
      </c>
      <c r="E24" t="str">
        <f>VLOOKUP(A24,Sheet1!B:C,2,FALSE)</f>
        <v>0.7</v>
      </c>
      <c r="F24">
        <f t="shared" si="3"/>
        <v>1</v>
      </c>
      <c r="G24" t="str">
        <f>VLOOKUP(Sheet4!B24,Sheet4!B:C,2,FALSE)</f>
        <v>d</v>
      </c>
      <c r="H24">
        <f>VLOOKUP(A24,Sheet1!B:D,3,FALSE)</f>
        <v>121003</v>
      </c>
      <c r="I24" t="str">
        <f>VLOOKUP(A24,Sheet1!B:H,7,FALSE)</f>
        <v>172.8</v>
      </c>
      <c r="J24">
        <f t="shared" si="0"/>
        <v>2</v>
      </c>
      <c r="K24">
        <f t="shared" si="4"/>
        <v>1</v>
      </c>
      <c r="L24">
        <f>INDEX(Sheet5!$A$2:$T$2,MATCH("fwd_"&amp;LOWER(G24)&amp;"_fixed",Sheet5!$A$1:$T$1,0))</f>
        <v>45.4</v>
      </c>
      <c r="M24">
        <f>INDEX(Sheet5!$A$2:$Z$2,MATCH("fwd_"&amp;LOWER(G24)&amp;"_additional", Sheet5!$A$1:$Z$1, 0)
)</f>
        <v>44.8</v>
      </c>
      <c r="N24">
        <f t="shared" si="5"/>
        <v>90.199999999999989</v>
      </c>
      <c r="O24">
        <f>INDEX(
Sheet5!$A$2:$Z$2,
MATCH("rto_"&amp;LOWER(G24)&amp;"_fixed", Sheet5!$A$1:$Z$1, 0)
)</f>
        <v>41.3</v>
      </c>
      <c r="P24">
        <f>INDEX(
Sheet5!$A$2:$Z$2,
MATCH("rto_"&amp;LOWER(G24)&amp;"_additional", Sheet5!$A$1:$Z$1, 0)
)</f>
        <v>44.8</v>
      </c>
      <c r="Q24">
        <f t="shared" si="1"/>
        <v>86.1</v>
      </c>
      <c r="R24">
        <f t="shared" si="6"/>
        <v>176.29999999999998</v>
      </c>
      <c r="S24">
        <f t="shared" si="7"/>
        <v>3.4999999999999716</v>
      </c>
    </row>
    <row r="25" spans="1:19" x14ac:dyDescent="0.45">
      <c r="A25" t="s">
        <v>105</v>
      </c>
      <c r="B25" t="str">
        <f>_xlfn.XLOOKUP(A25,Sheet1!B:B,Sheet1!A:A)</f>
        <v>1091118547832</v>
      </c>
      <c r="C25" cm="1">
        <f t="array" ref="C25">SUMPRODUCT((Sheet2!$A$2:$A$1000=Sheet6!A25)*Sheet2!$C$2:$C$1000*IFERROR(VLOOKUP(Sheet2!$B$2:$B$1000,Sheet3!$A:$B,2,FALSE),0))/1000</f>
        <v>0.55800000000000005</v>
      </c>
      <c r="D25">
        <f t="shared" si="2"/>
        <v>1</v>
      </c>
      <c r="E25" t="str">
        <f>VLOOKUP(A25,Sheet1!B:C,2,FALSE)</f>
        <v>0.6</v>
      </c>
      <c r="F25">
        <f t="shared" si="3"/>
        <v>1</v>
      </c>
      <c r="G25" t="str">
        <f>VLOOKUP(Sheet4!B25,Sheet4!B:C,2,FALSE)</f>
        <v>b</v>
      </c>
      <c r="H25">
        <f>VLOOKUP(A25,Sheet1!B:D,3,FALSE)</f>
        <v>121003</v>
      </c>
      <c r="I25" t="str">
        <f>VLOOKUP(A25,Sheet1!B:H,7,FALSE)</f>
        <v>102.3</v>
      </c>
      <c r="J25">
        <f t="shared" si="0"/>
        <v>2</v>
      </c>
      <c r="K25">
        <f t="shared" si="4"/>
        <v>1</v>
      </c>
      <c r="L25">
        <f>INDEX(Sheet5!$A$2:$T$2,MATCH("fwd_"&amp;LOWER(G25)&amp;"_fixed",Sheet5!$A$1:$T$1,0))</f>
        <v>33</v>
      </c>
      <c r="M25">
        <f>INDEX(Sheet5!$A$2:$Z$2,MATCH("fwd_"&amp;LOWER(G25)&amp;"_additional", Sheet5!$A$1:$Z$1, 0)
)</f>
        <v>28.3</v>
      </c>
      <c r="N25">
        <f t="shared" si="5"/>
        <v>61.3</v>
      </c>
      <c r="O25">
        <f>INDEX(
Sheet5!$A$2:$Z$2,
MATCH("rto_"&amp;LOWER(G25)&amp;"_fixed", Sheet5!$A$1:$Z$1, 0)
)</f>
        <v>20.5</v>
      </c>
      <c r="P25">
        <f>INDEX(
Sheet5!$A$2:$Z$2,
MATCH("rto_"&amp;LOWER(G25)&amp;"_additional", Sheet5!$A$1:$Z$1, 0)
)</f>
        <v>28.3</v>
      </c>
      <c r="Q25">
        <f t="shared" si="1"/>
        <v>48.8</v>
      </c>
      <c r="R25">
        <f t="shared" si="6"/>
        <v>110.1</v>
      </c>
      <c r="S25">
        <f t="shared" si="7"/>
        <v>7.7999999999999972</v>
      </c>
    </row>
    <row r="26" spans="1:19" x14ac:dyDescent="0.45">
      <c r="A26" t="s">
        <v>110</v>
      </c>
      <c r="B26" t="str">
        <f>_xlfn.XLOOKUP(A26,Sheet1!B:B,Sheet1!A:A)</f>
        <v>1091119398844</v>
      </c>
      <c r="C26" cm="1">
        <f t="array" ref="C26">SUMPRODUCT((Sheet2!$A$2:$A$1000=Sheet6!A26)*Sheet2!$C$2:$C$1000*IFERROR(VLOOKUP(Sheet2!$B$2:$B$1000,Sheet3!$A:$B,2,FALSE),0))/1000</f>
        <v>0.92</v>
      </c>
      <c r="D26">
        <f t="shared" si="2"/>
        <v>1</v>
      </c>
      <c r="E26" t="str">
        <f>VLOOKUP(A26,Sheet1!B:C,2,FALSE)</f>
        <v>0.99</v>
      </c>
      <c r="F26">
        <f t="shared" si="3"/>
        <v>1</v>
      </c>
      <c r="G26" t="str">
        <f>VLOOKUP(Sheet4!B26,Sheet4!B:C,2,FALSE)</f>
        <v>d</v>
      </c>
      <c r="H26">
        <f>VLOOKUP(A26,Sheet1!B:D,3,FALSE)</f>
        <v>121003</v>
      </c>
      <c r="I26" t="str">
        <f>VLOOKUP(A26,Sheet1!B:H,7,FALSE)</f>
        <v>172.8</v>
      </c>
      <c r="J26">
        <f t="shared" si="0"/>
        <v>2</v>
      </c>
      <c r="K26">
        <f t="shared" si="4"/>
        <v>1</v>
      </c>
      <c r="L26">
        <f>INDEX(Sheet5!$A$2:$T$2,MATCH("fwd_"&amp;LOWER(G26)&amp;"_fixed",Sheet5!$A$1:$T$1,0))</f>
        <v>45.4</v>
      </c>
      <c r="M26">
        <f>INDEX(Sheet5!$A$2:$Z$2,MATCH("fwd_"&amp;LOWER(G26)&amp;"_additional", Sheet5!$A$1:$Z$1, 0)
)</f>
        <v>44.8</v>
      </c>
      <c r="N26">
        <f t="shared" si="5"/>
        <v>90.199999999999989</v>
      </c>
      <c r="O26">
        <f>INDEX(
Sheet5!$A$2:$Z$2,
MATCH("rto_"&amp;LOWER(G26)&amp;"_fixed", Sheet5!$A$1:$Z$1, 0)
)</f>
        <v>41.3</v>
      </c>
      <c r="P26">
        <f>INDEX(
Sheet5!$A$2:$Z$2,
MATCH("rto_"&amp;LOWER(G26)&amp;"_additional", Sheet5!$A$1:$Z$1, 0)
)</f>
        <v>44.8</v>
      </c>
      <c r="Q26">
        <f t="shared" si="1"/>
        <v>86.1</v>
      </c>
      <c r="R26">
        <f t="shared" si="6"/>
        <v>176.29999999999998</v>
      </c>
      <c r="S26">
        <f t="shared" si="7"/>
        <v>3.4999999999999716</v>
      </c>
    </row>
    <row r="27" spans="1:19" x14ac:dyDescent="0.45">
      <c r="A27" t="s">
        <v>114</v>
      </c>
      <c r="B27" t="str">
        <f>_xlfn.XLOOKUP(A27,Sheet1!B:B,Sheet1!A:A)</f>
        <v>1091119630264</v>
      </c>
      <c r="C27" cm="1">
        <f t="array" ref="C27">SUMPRODUCT((Sheet2!$A$2:$A$1000=Sheet6!A27)*Sheet2!$C$2:$C$1000*IFERROR(VLOOKUP(Sheet2!$B$2:$B$1000,Sheet3!$A:$B,2,FALSE),0))/1000</f>
        <v>0.7</v>
      </c>
      <c r="D27">
        <f t="shared" si="2"/>
        <v>1</v>
      </c>
      <c r="E27" t="str">
        <f>VLOOKUP(A27,Sheet1!B:C,2,FALSE)</f>
        <v>0.7</v>
      </c>
      <c r="F27">
        <f t="shared" si="3"/>
        <v>1</v>
      </c>
      <c r="G27" t="str">
        <f>VLOOKUP(Sheet4!B27,Sheet4!B:C,2,FALSE)</f>
        <v>d</v>
      </c>
      <c r="H27">
        <f>VLOOKUP(A27,Sheet1!B:D,3,FALSE)</f>
        <v>121003</v>
      </c>
      <c r="I27" t="str">
        <f>VLOOKUP(A27,Sheet1!B:H,7,FALSE)</f>
        <v>172.8</v>
      </c>
      <c r="J27">
        <f t="shared" si="0"/>
        <v>2</v>
      </c>
      <c r="K27">
        <f t="shared" si="4"/>
        <v>1</v>
      </c>
      <c r="L27">
        <f>INDEX(Sheet5!$A$2:$T$2,MATCH("fwd_"&amp;LOWER(G27)&amp;"_fixed",Sheet5!$A$1:$T$1,0))</f>
        <v>45.4</v>
      </c>
      <c r="M27">
        <f>INDEX(Sheet5!$A$2:$Z$2,MATCH("fwd_"&amp;LOWER(G27)&amp;"_additional", Sheet5!$A$1:$Z$1, 0)
)</f>
        <v>44.8</v>
      </c>
      <c r="N27">
        <f t="shared" si="5"/>
        <v>90.199999999999989</v>
      </c>
      <c r="O27">
        <f>INDEX(
Sheet5!$A$2:$Z$2,
MATCH("rto_"&amp;LOWER(G27)&amp;"_fixed", Sheet5!$A$1:$Z$1, 0)
)</f>
        <v>41.3</v>
      </c>
      <c r="P27">
        <f>INDEX(
Sheet5!$A$2:$Z$2,
MATCH("rto_"&amp;LOWER(G27)&amp;"_additional", Sheet5!$A$1:$Z$1, 0)
)</f>
        <v>44.8</v>
      </c>
      <c r="Q27">
        <f t="shared" si="1"/>
        <v>86.1</v>
      </c>
      <c r="R27">
        <f t="shared" si="6"/>
        <v>176.29999999999998</v>
      </c>
      <c r="S27">
        <f t="shared" si="7"/>
        <v>3.4999999999999716</v>
      </c>
    </row>
    <row r="28" spans="1:19" x14ac:dyDescent="0.45">
      <c r="A28" t="s">
        <v>117</v>
      </c>
      <c r="B28" t="str">
        <f>_xlfn.XLOOKUP(A28,Sheet1!B:B,Sheet1!A:A)</f>
        <v>1091120014461</v>
      </c>
      <c r="C28" cm="1">
        <f t="array" ref="C28">SUMPRODUCT((Sheet2!$A$2:$A$1000=Sheet6!A28)*Sheet2!$C$2:$C$1000*IFERROR(VLOOKUP(Sheet2!$B$2:$B$1000,Sheet3!$A:$B,2,FALSE),0))/1000</f>
        <v>0.84099999999999997</v>
      </c>
      <c r="D28">
        <f t="shared" si="2"/>
        <v>1</v>
      </c>
      <c r="E28" t="str">
        <f>VLOOKUP(A28,Sheet1!B:C,2,FALSE)</f>
        <v>0.8</v>
      </c>
      <c r="F28">
        <f t="shared" si="3"/>
        <v>1</v>
      </c>
      <c r="G28" t="str">
        <f>VLOOKUP(Sheet4!B28,Sheet4!B:C,2,FALSE)</f>
        <v>e</v>
      </c>
      <c r="H28">
        <f>VLOOKUP(A28,Sheet1!B:D,3,FALSE)</f>
        <v>121003</v>
      </c>
      <c r="I28" t="str">
        <f>VLOOKUP(A28,Sheet1!B:H,7,FALSE)</f>
        <v>213.5</v>
      </c>
      <c r="J28">
        <f t="shared" si="0"/>
        <v>2</v>
      </c>
      <c r="K28">
        <f t="shared" si="4"/>
        <v>1</v>
      </c>
      <c r="L28">
        <f>INDEX(Sheet5!$A$2:$T$2,MATCH("fwd_"&amp;LOWER(G28)&amp;"_fixed",Sheet5!$A$1:$T$1,0))</f>
        <v>56.6</v>
      </c>
      <c r="M28">
        <f>INDEX(Sheet5!$A$2:$Z$2,MATCH("fwd_"&amp;LOWER(G28)&amp;"_additional", Sheet5!$A$1:$Z$1, 0)
)</f>
        <v>55.5</v>
      </c>
      <c r="N28">
        <f t="shared" si="5"/>
        <v>112.1</v>
      </c>
      <c r="O28">
        <f>INDEX(
Sheet5!$A$2:$Z$2,
MATCH("rto_"&amp;LOWER(G28)&amp;"_fixed", Sheet5!$A$1:$Z$1, 0)
)</f>
        <v>50.7</v>
      </c>
      <c r="P28">
        <f>INDEX(
Sheet5!$A$2:$Z$2,
MATCH("rto_"&amp;LOWER(G28)&amp;"_additional", Sheet5!$A$1:$Z$1, 0)
)</f>
        <v>55.5</v>
      </c>
      <c r="Q28">
        <f t="shared" si="1"/>
        <v>106.2</v>
      </c>
      <c r="R28">
        <f t="shared" si="6"/>
        <v>218.3</v>
      </c>
      <c r="S28">
        <f t="shared" si="7"/>
        <v>4.8000000000000114</v>
      </c>
    </row>
    <row r="29" spans="1:19" x14ac:dyDescent="0.45">
      <c r="A29" t="s">
        <v>122</v>
      </c>
      <c r="B29" t="str">
        <f>_xlfn.XLOOKUP(A29,Sheet1!B:B,Sheet1!A:A)</f>
        <v>1091120959015</v>
      </c>
      <c r="C29" cm="1">
        <f t="array" ref="C29">SUMPRODUCT((Sheet2!$A$2:$A$1000=Sheet6!A29)*Sheet2!$C$2:$C$1000*IFERROR(VLOOKUP(Sheet2!$B$2:$B$1000,Sheet3!$A:$B,2,FALSE),0))/1000</f>
        <v>1.2</v>
      </c>
      <c r="D29">
        <f t="shared" si="2"/>
        <v>1.5</v>
      </c>
      <c r="E29" t="str">
        <f>VLOOKUP(A29,Sheet1!B:C,2,FALSE)</f>
        <v>1.2</v>
      </c>
      <c r="F29">
        <f t="shared" si="3"/>
        <v>1.5</v>
      </c>
      <c r="G29" t="str">
        <f>VLOOKUP(Sheet4!B29,Sheet4!B:C,2,FALSE)</f>
        <v>d</v>
      </c>
      <c r="H29">
        <f>VLOOKUP(A29,Sheet1!B:D,3,FALSE)</f>
        <v>121003</v>
      </c>
      <c r="I29" t="str">
        <f>VLOOKUP(A29,Sheet1!B:H,7,FALSE)</f>
        <v>258.9</v>
      </c>
      <c r="J29">
        <f t="shared" si="0"/>
        <v>3</v>
      </c>
      <c r="K29">
        <f t="shared" si="4"/>
        <v>2</v>
      </c>
      <c r="L29">
        <f>INDEX(Sheet5!$A$2:$T$2,MATCH("fwd_"&amp;LOWER(G29)&amp;"_fixed",Sheet5!$A$1:$T$1,0))</f>
        <v>45.4</v>
      </c>
      <c r="M29">
        <f>INDEX(Sheet5!$A$2:$Z$2,MATCH("fwd_"&amp;LOWER(G29)&amp;"_additional", Sheet5!$A$1:$Z$1, 0)
)</f>
        <v>44.8</v>
      </c>
      <c r="N29">
        <f t="shared" si="5"/>
        <v>135</v>
      </c>
      <c r="O29">
        <f>INDEX(
Sheet5!$A$2:$Z$2,
MATCH("rto_"&amp;LOWER(G29)&amp;"_fixed", Sheet5!$A$1:$Z$1, 0)
)</f>
        <v>41.3</v>
      </c>
      <c r="P29">
        <f>INDEX(
Sheet5!$A$2:$Z$2,
MATCH("rto_"&amp;LOWER(G29)&amp;"_additional", Sheet5!$A$1:$Z$1, 0)
)</f>
        <v>44.8</v>
      </c>
      <c r="Q29">
        <f t="shared" si="1"/>
        <v>130.89999999999998</v>
      </c>
      <c r="R29">
        <f t="shared" si="6"/>
        <v>265.89999999999998</v>
      </c>
      <c r="S29">
        <f t="shared" si="7"/>
        <v>7</v>
      </c>
    </row>
    <row r="30" spans="1:19" x14ac:dyDescent="0.45">
      <c r="A30" t="s">
        <v>126</v>
      </c>
      <c r="B30" t="str">
        <f>_xlfn.XLOOKUP(A30,Sheet1!B:B,Sheet1!A:A)</f>
        <v>1091121485824</v>
      </c>
      <c r="C30" cm="1">
        <f t="array" ref="C30">SUMPRODUCT((Sheet2!$A$2:$A$1000=Sheet6!A30)*Sheet2!$C$2:$C$1000*IFERROR(VLOOKUP(Sheet2!$B$2:$B$1000,Sheet3!$A:$B,2,FALSE),0))/1000</f>
        <v>1.357</v>
      </c>
      <c r="D30">
        <f t="shared" si="2"/>
        <v>1.5</v>
      </c>
      <c r="E30" t="str">
        <f>VLOOKUP(A30,Sheet1!B:C,2,FALSE)</f>
        <v>1.3</v>
      </c>
      <c r="F30">
        <f t="shared" si="3"/>
        <v>1.5</v>
      </c>
      <c r="G30" t="str">
        <f>VLOOKUP(Sheet4!B30,Sheet4!B:C,2,FALSE)</f>
        <v>b</v>
      </c>
      <c r="H30">
        <f>VLOOKUP(A30,Sheet1!B:D,3,FALSE)</f>
        <v>121003</v>
      </c>
      <c r="I30" t="str">
        <f>VLOOKUP(A30,Sheet1!B:H,7,FALSE)</f>
        <v>151.1</v>
      </c>
      <c r="J30">
        <f t="shared" si="0"/>
        <v>3</v>
      </c>
      <c r="K30">
        <f t="shared" si="4"/>
        <v>2</v>
      </c>
      <c r="L30">
        <f>INDEX(Sheet5!$A$2:$T$2,MATCH("fwd_"&amp;LOWER(G30)&amp;"_fixed",Sheet5!$A$1:$T$1,0))</f>
        <v>33</v>
      </c>
      <c r="M30">
        <f>INDEX(Sheet5!$A$2:$Z$2,MATCH("fwd_"&amp;LOWER(G30)&amp;"_additional", Sheet5!$A$1:$Z$1, 0)
)</f>
        <v>28.3</v>
      </c>
      <c r="N30">
        <f t="shared" si="5"/>
        <v>89.6</v>
      </c>
      <c r="O30">
        <f>INDEX(
Sheet5!$A$2:$Z$2,
MATCH("rto_"&amp;LOWER(G30)&amp;"_fixed", Sheet5!$A$1:$Z$1, 0)
)</f>
        <v>20.5</v>
      </c>
      <c r="P30">
        <f>INDEX(
Sheet5!$A$2:$Z$2,
MATCH("rto_"&amp;LOWER(G30)&amp;"_additional", Sheet5!$A$1:$Z$1, 0)
)</f>
        <v>28.3</v>
      </c>
      <c r="Q30">
        <f t="shared" si="1"/>
        <v>77.099999999999994</v>
      </c>
      <c r="R30">
        <f t="shared" si="6"/>
        <v>166.7</v>
      </c>
      <c r="S30">
        <f t="shared" si="7"/>
        <v>15.599999999999994</v>
      </c>
    </row>
    <row r="31" spans="1:19" x14ac:dyDescent="0.45">
      <c r="A31" t="s">
        <v>130</v>
      </c>
      <c r="B31" t="str">
        <f>_xlfn.XLOOKUP(A31,Sheet1!B:B,Sheet1!A:A)</f>
        <v>1091121666133</v>
      </c>
      <c r="C31" cm="1">
        <f t="array" ref="C31">SUMPRODUCT((Sheet2!$A$2:$A$1000=Sheet6!A31)*Sheet2!$C$2:$C$1000*IFERROR(VLOOKUP(Sheet2!$B$2:$B$1000,Sheet3!$A:$B,2,FALSE),0))/1000</f>
        <v>0.67200000000000004</v>
      </c>
      <c r="D31">
        <f t="shared" si="2"/>
        <v>1</v>
      </c>
      <c r="E31" t="str">
        <f>VLOOKUP(A31,Sheet1!B:C,2,FALSE)</f>
        <v>0.7</v>
      </c>
      <c r="F31">
        <f t="shared" si="3"/>
        <v>1</v>
      </c>
      <c r="G31" t="str">
        <f>VLOOKUP(Sheet4!B31,Sheet4!B:C,2,FALSE)</f>
        <v>d</v>
      </c>
      <c r="H31">
        <f>VLOOKUP(A31,Sheet1!B:D,3,FALSE)</f>
        <v>121003</v>
      </c>
      <c r="I31" t="str">
        <f>VLOOKUP(A31,Sheet1!B:H,7,FALSE)</f>
        <v>172.8</v>
      </c>
      <c r="J31">
        <f t="shared" si="0"/>
        <v>2</v>
      </c>
      <c r="K31">
        <f t="shared" si="4"/>
        <v>1</v>
      </c>
      <c r="L31">
        <f>INDEX(Sheet5!$A$2:$T$2,MATCH("fwd_"&amp;LOWER(G31)&amp;"_fixed",Sheet5!$A$1:$T$1,0))</f>
        <v>45.4</v>
      </c>
      <c r="M31">
        <f>INDEX(Sheet5!$A$2:$Z$2,MATCH("fwd_"&amp;LOWER(G31)&amp;"_additional", Sheet5!$A$1:$Z$1, 0)
)</f>
        <v>44.8</v>
      </c>
      <c r="N31">
        <f t="shared" si="5"/>
        <v>90.199999999999989</v>
      </c>
      <c r="O31">
        <f>INDEX(
Sheet5!$A$2:$Z$2,
MATCH("rto_"&amp;LOWER(G31)&amp;"_fixed", Sheet5!$A$1:$Z$1, 0)
)</f>
        <v>41.3</v>
      </c>
      <c r="P31">
        <f>INDEX(
Sheet5!$A$2:$Z$2,
MATCH("rto_"&amp;LOWER(G31)&amp;"_additional", Sheet5!$A$1:$Z$1, 0)
)</f>
        <v>44.8</v>
      </c>
      <c r="Q31">
        <f t="shared" si="1"/>
        <v>86.1</v>
      </c>
      <c r="R31">
        <f t="shared" si="6"/>
        <v>176.29999999999998</v>
      </c>
      <c r="S31">
        <f t="shared" si="7"/>
        <v>3.4999999999999716</v>
      </c>
    </row>
    <row r="32" spans="1:19" x14ac:dyDescent="0.45">
      <c r="A32" t="s">
        <v>133</v>
      </c>
      <c r="B32" t="str">
        <f>_xlfn.XLOOKUP(A32,Sheet1!B:B,Sheet1!A:A)</f>
        <v>1091121981575</v>
      </c>
      <c r="C32" cm="1">
        <f t="array" ref="C32">SUMPRODUCT((Sheet2!$A$2:$A$1000=Sheet6!A32)*Sheet2!$C$2:$C$1000*IFERROR(VLOOKUP(Sheet2!$B$2:$B$1000,Sheet3!$A:$B,2,FALSE),0))/1000</f>
        <v>1.5569999999999999</v>
      </c>
      <c r="D32">
        <f t="shared" si="2"/>
        <v>2</v>
      </c>
      <c r="E32" t="str">
        <f>VLOOKUP(A32,Sheet1!B:C,2,FALSE)</f>
        <v>1.6</v>
      </c>
      <c r="F32">
        <f t="shared" si="3"/>
        <v>2</v>
      </c>
      <c r="G32" t="str">
        <f>VLOOKUP(Sheet4!B32,Sheet4!B:C,2,FALSE)</f>
        <v>d</v>
      </c>
      <c r="H32">
        <f>VLOOKUP(A32,Sheet1!B:D,3,FALSE)</f>
        <v>121003</v>
      </c>
      <c r="I32" t="str">
        <f>VLOOKUP(A32,Sheet1!B:H,7,FALSE)</f>
        <v>345</v>
      </c>
      <c r="J32">
        <f t="shared" si="0"/>
        <v>4</v>
      </c>
      <c r="K32">
        <f t="shared" si="4"/>
        <v>3</v>
      </c>
      <c r="L32">
        <f>INDEX(Sheet5!$A$2:$T$2,MATCH("fwd_"&amp;LOWER(G32)&amp;"_fixed",Sheet5!$A$1:$T$1,0))</f>
        <v>45.4</v>
      </c>
      <c r="M32">
        <f>INDEX(Sheet5!$A$2:$Z$2,MATCH("fwd_"&amp;LOWER(G32)&amp;"_additional", Sheet5!$A$1:$Z$1, 0)
)</f>
        <v>44.8</v>
      </c>
      <c r="N32">
        <f t="shared" si="5"/>
        <v>179.79999999999998</v>
      </c>
      <c r="O32">
        <f>INDEX(
Sheet5!$A$2:$Z$2,
MATCH("rto_"&amp;LOWER(G32)&amp;"_fixed", Sheet5!$A$1:$Z$1, 0)
)</f>
        <v>41.3</v>
      </c>
      <c r="P32">
        <f>INDEX(
Sheet5!$A$2:$Z$2,
MATCH("rto_"&amp;LOWER(G32)&amp;"_additional", Sheet5!$A$1:$Z$1, 0)
)</f>
        <v>44.8</v>
      </c>
      <c r="Q32">
        <f t="shared" si="1"/>
        <v>175.7</v>
      </c>
      <c r="R32">
        <f t="shared" si="6"/>
        <v>355.5</v>
      </c>
      <c r="S32">
        <f t="shared" si="7"/>
        <v>10.5</v>
      </c>
    </row>
    <row r="33" spans="1:19" x14ac:dyDescent="0.45">
      <c r="A33" t="s">
        <v>138</v>
      </c>
      <c r="B33" t="str">
        <f>_xlfn.XLOOKUP(A33,Sheet1!B:B,Sheet1!A:A)</f>
        <v>1091117957780</v>
      </c>
      <c r="C33" cm="1">
        <f t="array" ref="C33">SUMPRODUCT((Sheet2!$A$2:$A$1000=Sheet6!A33)*Sheet2!$C$2:$C$1000*IFERROR(VLOOKUP(Sheet2!$B$2:$B$1000,Sheet3!$A:$B,2,FALSE),0))/1000</f>
        <v>1.032</v>
      </c>
      <c r="D33">
        <f t="shared" si="2"/>
        <v>1.5</v>
      </c>
      <c r="E33" t="str">
        <f>VLOOKUP(A33,Sheet1!B:C,2,FALSE)</f>
        <v>1.13</v>
      </c>
      <c r="F33">
        <f t="shared" si="3"/>
        <v>1.5</v>
      </c>
      <c r="G33" t="str">
        <f>VLOOKUP(Sheet4!B33,Sheet4!B:C,2,FALSE)</f>
        <v>d</v>
      </c>
      <c r="H33">
        <f>VLOOKUP(A33,Sheet1!B:D,3,FALSE)</f>
        <v>121003</v>
      </c>
      <c r="I33" t="str">
        <f>VLOOKUP(A33,Sheet1!B:H,7,FALSE)</f>
        <v>258.9</v>
      </c>
      <c r="J33">
        <f t="shared" si="0"/>
        <v>3</v>
      </c>
      <c r="K33">
        <f t="shared" si="4"/>
        <v>2</v>
      </c>
      <c r="L33">
        <f>INDEX(Sheet5!$A$2:$T$2,MATCH("fwd_"&amp;LOWER(G33)&amp;"_fixed",Sheet5!$A$1:$T$1,0))</f>
        <v>45.4</v>
      </c>
      <c r="M33">
        <f>INDEX(Sheet5!$A$2:$Z$2,MATCH("fwd_"&amp;LOWER(G33)&amp;"_additional", Sheet5!$A$1:$Z$1, 0)
)</f>
        <v>44.8</v>
      </c>
      <c r="N33">
        <f t="shared" si="5"/>
        <v>135</v>
      </c>
      <c r="O33">
        <f>INDEX(
Sheet5!$A$2:$Z$2,
MATCH("rto_"&amp;LOWER(G33)&amp;"_fixed", Sheet5!$A$1:$Z$1, 0)
)</f>
        <v>41.3</v>
      </c>
      <c r="P33">
        <f>INDEX(
Sheet5!$A$2:$Z$2,
MATCH("rto_"&amp;LOWER(G33)&amp;"_additional", Sheet5!$A$1:$Z$1, 0)
)</f>
        <v>44.8</v>
      </c>
      <c r="Q33">
        <f t="shared" si="1"/>
        <v>130.89999999999998</v>
      </c>
      <c r="R33">
        <f t="shared" si="6"/>
        <v>265.89999999999998</v>
      </c>
      <c r="S33">
        <f t="shared" si="7"/>
        <v>7</v>
      </c>
    </row>
    <row r="34" spans="1:19" x14ac:dyDescent="0.45">
      <c r="A34" t="s">
        <v>142</v>
      </c>
      <c r="B34" t="str">
        <f>_xlfn.XLOOKUP(A34,Sheet1!B:B,Sheet1!A:A)</f>
        <v>1091121482593</v>
      </c>
      <c r="C34" cm="1">
        <f t="array" ref="C34">SUMPRODUCT((Sheet2!$A$2:$A$1000=Sheet6!A34)*Sheet2!$C$2:$C$1000*IFERROR(VLOOKUP(Sheet2!$B$2:$B$1000,Sheet3!$A:$B,2,FALSE),0))/1000</f>
        <v>0.63</v>
      </c>
      <c r="D34">
        <f t="shared" si="2"/>
        <v>1</v>
      </c>
      <c r="E34" t="str">
        <f>VLOOKUP(A34,Sheet1!B:C,2,FALSE)</f>
        <v>0.6</v>
      </c>
      <c r="F34">
        <f t="shared" si="3"/>
        <v>1</v>
      </c>
      <c r="G34" t="str">
        <f>VLOOKUP(Sheet4!B34,Sheet4!B:C,2,FALSE)</f>
        <v>d</v>
      </c>
      <c r="H34">
        <f>VLOOKUP(A34,Sheet1!B:D,3,FALSE)</f>
        <v>121003</v>
      </c>
      <c r="I34" t="str">
        <f>VLOOKUP(A34,Sheet1!B:H,7,FALSE)</f>
        <v>172.8</v>
      </c>
      <c r="J34">
        <f t="shared" ref="J34:J65" si="8">D34/0.5</f>
        <v>2</v>
      </c>
      <c r="K34">
        <f t="shared" si="4"/>
        <v>1</v>
      </c>
      <c r="L34">
        <f>INDEX(Sheet5!$A$2:$T$2,MATCH("fwd_"&amp;LOWER(G34)&amp;"_fixed",Sheet5!$A$1:$T$1,0))</f>
        <v>45.4</v>
      </c>
      <c r="M34">
        <f>INDEX(Sheet5!$A$2:$Z$2,MATCH("fwd_"&amp;LOWER(G34)&amp;"_additional", Sheet5!$A$1:$Z$1, 0)
)</f>
        <v>44.8</v>
      </c>
      <c r="N34">
        <f t="shared" si="5"/>
        <v>90.199999999999989</v>
      </c>
      <c r="O34">
        <f>INDEX(
Sheet5!$A$2:$Z$2,
MATCH("rto_"&amp;LOWER(G34)&amp;"_fixed", Sheet5!$A$1:$Z$1, 0)
)</f>
        <v>41.3</v>
      </c>
      <c r="P34">
        <f>INDEX(
Sheet5!$A$2:$Z$2,
MATCH("rto_"&amp;LOWER(G34)&amp;"_additional", Sheet5!$A$1:$Z$1, 0)
)</f>
        <v>44.8</v>
      </c>
      <c r="Q34">
        <f t="shared" ref="Q34:Q65" si="9">O34+(K34*P34)</f>
        <v>86.1</v>
      </c>
      <c r="R34">
        <f t="shared" si="6"/>
        <v>176.29999999999998</v>
      </c>
      <c r="S34">
        <f t="shared" si="7"/>
        <v>3.4999999999999716</v>
      </c>
    </row>
    <row r="35" spans="1:19" x14ac:dyDescent="0.45">
      <c r="A35" t="s">
        <v>145</v>
      </c>
      <c r="B35" t="str">
        <f>_xlfn.XLOOKUP(A35,Sheet1!B:B,Sheet1!A:A)</f>
        <v>1091117221940</v>
      </c>
      <c r="C35" cm="1">
        <f t="array" ref="C35">SUMPRODUCT((Sheet2!$A$2:$A$1000=Sheet6!A35)*Sheet2!$C$2:$C$1000*IFERROR(VLOOKUP(Sheet2!$B$2:$B$1000,Sheet3!$A:$B,2,FALSE),0))/1000</f>
        <v>0.22</v>
      </c>
      <c r="D35">
        <f t="shared" si="2"/>
        <v>0.5</v>
      </c>
      <c r="E35" t="str">
        <f>VLOOKUP(A35,Sheet1!B:C,2,FALSE)</f>
        <v>2.92</v>
      </c>
      <c r="F35">
        <f t="shared" si="3"/>
        <v>3</v>
      </c>
      <c r="G35" t="str">
        <f>VLOOKUP(Sheet4!B35,Sheet4!B:C,2,FALSE)</f>
        <v>b</v>
      </c>
      <c r="H35">
        <f>VLOOKUP(A35,Sheet1!B:D,3,FALSE)</f>
        <v>121003</v>
      </c>
      <c r="I35" t="str">
        <f>VLOOKUP(A35,Sheet1!B:H,7,FALSE)</f>
        <v>174.5</v>
      </c>
      <c r="J35">
        <f t="shared" si="8"/>
        <v>1</v>
      </c>
      <c r="K35">
        <f t="shared" si="4"/>
        <v>0</v>
      </c>
      <c r="L35">
        <f>INDEX(Sheet5!$A$2:$T$2,MATCH("fwd_"&amp;LOWER(G35)&amp;"_fixed",Sheet5!$A$1:$T$1,0))</f>
        <v>33</v>
      </c>
      <c r="M35">
        <f>INDEX(Sheet5!$A$2:$Z$2,MATCH("fwd_"&amp;LOWER(G35)&amp;"_additional", Sheet5!$A$1:$Z$1, 0)
)</f>
        <v>28.3</v>
      </c>
      <c r="N35">
        <f t="shared" si="5"/>
        <v>33</v>
      </c>
      <c r="O35">
        <f>INDEX(
Sheet5!$A$2:$Z$2,
MATCH("rto_"&amp;LOWER(G35)&amp;"_fixed", Sheet5!$A$1:$Z$1, 0)
)</f>
        <v>20.5</v>
      </c>
      <c r="P35">
        <f>INDEX(
Sheet5!$A$2:$Z$2,
MATCH("rto_"&amp;LOWER(G35)&amp;"_additional", Sheet5!$A$1:$Z$1, 0)
)</f>
        <v>28.3</v>
      </c>
      <c r="Q35">
        <f t="shared" si="9"/>
        <v>20.5</v>
      </c>
      <c r="R35">
        <f t="shared" si="6"/>
        <v>53.5</v>
      </c>
      <c r="S35">
        <f t="shared" si="7"/>
        <v>-121</v>
      </c>
    </row>
    <row r="36" spans="1:19" x14ac:dyDescent="0.45">
      <c r="A36" t="s">
        <v>150</v>
      </c>
      <c r="B36" t="str">
        <f>_xlfn.XLOOKUP(A36,Sheet1!B:B,Sheet1!A:A)</f>
        <v>1091117222065</v>
      </c>
      <c r="C36" cm="1">
        <f t="array" ref="C36">SUMPRODUCT((Sheet2!$A$2:$A$1000=Sheet6!A36)*Sheet2!$C$2:$C$1000*IFERROR(VLOOKUP(Sheet2!$B$2:$B$1000,Sheet3!$A:$B,2,FALSE),0))/1000</f>
        <v>0.48</v>
      </c>
      <c r="D36">
        <f t="shared" si="2"/>
        <v>0.5</v>
      </c>
      <c r="E36" t="str">
        <f>VLOOKUP(A36,Sheet1!B:C,2,FALSE)</f>
        <v>0.68</v>
      </c>
      <c r="F36">
        <f t="shared" si="3"/>
        <v>1</v>
      </c>
      <c r="G36" t="str">
        <f>VLOOKUP(Sheet4!B36,Sheet4!B:C,2,FALSE)</f>
        <v>d</v>
      </c>
      <c r="H36">
        <f>VLOOKUP(A36,Sheet1!B:D,3,FALSE)</f>
        <v>121003</v>
      </c>
      <c r="I36" t="str">
        <f>VLOOKUP(A36,Sheet1!B:H,7,FALSE)</f>
        <v>90.2</v>
      </c>
      <c r="J36">
        <f t="shared" si="8"/>
        <v>1</v>
      </c>
      <c r="K36">
        <f t="shared" si="4"/>
        <v>0</v>
      </c>
      <c r="L36">
        <f>INDEX(Sheet5!$A$2:$T$2,MATCH("fwd_"&amp;LOWER(G36)&amp;"_fixed",Sheet5!$A$1:$T$1,0))</f>
        <v>45.4</v>
      </c>
      <c r="M36">
        <f>INDEX(Sheet5!$A$2:$Z$2,MATCH("fwd_"&amp;LOWER(G36)&amp;"_additional", Sheet5!$A$1:$Z$1, 0)
)</f>
        <v>44.8</v>
      </c>
      <c r="N36">
        <f t="shared" si="5"/>
        <v>45.4</v>
      </c>
      <c r="O36">
        <f>INDEX(
Sheet5!$A$2:$Z$2,
MATCH("rto_"&amp;LOWER(G36)&amp;"_fixed", Sheet5!$A$1:$Z$1, 0)
)</f>
        <v>41.3</v>
      </c>
      <c r="P36">
        <f>INDEX(
Sheet5!$A$2:$Z$2,
MATCH("rto_"&amp;LOWER(G36)&amp;"_additional", Sheet5!$A$1:$Z$1, 0)
)</f>
        <v>44.8</v>
      </c>
      <c r="Q36">
        <f t="shared" si="9"/>
        <v>41.3</v>
      </c>
      <c r="R36">
        <f t="shared" si="6"/>
        <v>86.699999999999989</v>
      </c>
      <c r="S36">
        <f t="shared" si="7"/>
        <v>-3.5000000000000142</v>
      </c>
    </row>
    <row r="37" spans="1:19" x14ac:dyDescent="0.45">
      <c r="A37" t="s">
        <v>154</v>
      </c>
      <c r="B37" t="str">
        <f>_xlfn.XLOOKUP(A37,Sheet1!B:B,Sheet1!A:A)</f>
        <v>1091117222080</v>
      </c>
      <c r="C37" cm="1">
        <f t="array" ref="C37">SUMPRODUCT((Sheet2!$A$2:$A$1000=Sheet6!A37)*Sheet2!$C$2:$C$1000*IFERROR(VLOOKUP(Sheet2!$B$2:$B$1000,Sheet3!$A:$B,2,FALSE),0))/1000</f>
        <v>0.5</v>
      </c>
      <c r="D37">
        <f t="shared" si="2"/>
        <v>0.5</v>
      </c>
      <c r="E37" t="str">
        <f>VLOOKUP(A37,Sheet1!B:C,2,FALSE)</f>
        <v>0.71</v>
      </c>
      <c r="F37">
        <f t="shared" si="3"/>
        <v>1</v>
      </c>
      <c r="G37" t="str">
        <f>VLOOKUP(Sheet4!B37,Sheet4!B:C,2,FALSE)</f>
        <v>d</v>
      </c>
      <c r="H37">
        <f>VLOOKUP(A37,Sheet1!B:D,3,FALSE)</f>
        <v>121003</v>
      </c>
      <c r="I37" t="str">
        <f>VLOOKUP(A37,Sheet1!B:H,7,FALSE)</f>
        <v>90.2</v>
      </c>
      <c r="J37">
        <f t="shared" si="8"/>
        <v>1</v>
      </c>
      <c r="K37">
        <f t="shared" si="4"/>
        <v>0</v>
      </c>
      <c r="L37">
        <f>INDEX(Sheet5!$A$2:$T$2,MATCH("fwd_"&amp;LOWER(G37)&amp;"_fixed",Sheet5!$A$1:$T$1,0))</f>
        <v>45.4</v>
      </c>
      <c r="M37">
        <f>INDEX(Sheet5!$A$2:$Z$2,MATCH("fwd_"&amp;LOWER(G37)&amp;"_additional", Sheet5!$A$1:$Z$1, 0)
)</f>
        <v>44.8</v>
      </c>
      <c r="N37">
        <f t="shared" si="5"/>
        <v>45.4</v>
      </c>
      <c r="O37">
        <f>INDEX(
Sheet5!$A$2:$Z$2,
MATCH("rto_"&amp;LOWER(G37)&amp;"_fixed", Sheet5!$A$1:$Z$1, 0)
)</f>
        <v>41.3</v>
      </c>
      <c r="P37">
        <f>INDEX(
Sheet5!$A$2:$Z$2,
MATCH("rto_"&amp;LOWER(G37)&amp;"_additional", Sheet5!$A$1:$Z$1, 0)
)</f>
        <v>44.8</v>
      </c>
      <c r="Q37">
        <f t="shared" si="9"/>
        <v>41.3</v>
      </c>
      <c r="R37">
        <f t="shared" si="6"/>
        <v>86.699999999999989</v>
      </c>
      <c r="S37">
        <f t="shared" si="7"/>
        <v>-3.5000000000000142</v>
      </c>
    </row>
    <row r="38" spans="1:19" x14ac:dyDescent="0.45">
      <c r="A38" t="s">
        <v>158</v>
      </c>
      <c r="B38" t="str">
        <f>_xlfn.XLOOKUP(A38,Sheet1!B:B,Sheet1!A:A)</f>
        <v>1091117222135</v>
      </c>
      <c r="C38" cm="1">
        <f t="array" ref="C38">SUMPRODUCT((Sheet2!$A$2:$A$1000=Sheet6!A38)*Sheet2!$C$2:$C$1000*IFERROR(VLOOKUP(Sheet2!$B$2:$B$1000,Sheet3!$A:$B,2,FALSE),0))/1000</f>
        <v>0.245</v>
      </c>
      <c r="D38">
        <f t="shared" si="2"/>
        <v>0.5</v>
      </c>
      <c r="E38" t="str">
        <f>VLOOKUP(A38,Sheet1!B:C,2,FALSE)</f>
        <v>0.78</v>
      </c>
      <c r="F38">
        <f t="shared" si="3"/>
        <v>1</v>
      </c>
      <c r="G38" t="str">
        <f>VLOOKUP(Sheet4!B38,Sheet4!B:C,2,FALSE)</f>
        <v>b</v>
      </c>
      <c r="H38">
        <f>VLOOKUP(A38,Sheet1!B:D,3,FALSE)</f>
        <v>121003</v>
      </c>
      <c r="I38" t="str">
        <f>VLOOKUP(A38,Sheet1!B:H,7,FALSE)</f>
        <v>61.3</v>
      </c>
      <c r="J38">
        <f t="shared" si="8"/>
        <v>1</v>
      </c>
      <c r="K38">
        <f t="shared" si="4"/>
        <v>0</v>
      </c>
      <c r="L38">
        <f>INDEX(Sheet5!$A$2:$T$2,MATCH("fwd_"&amp;LOWER(G38)&amp;"_fixed",Sheet5!$A$1:$T$1,0))</f>
        <v>33</v>
      </c>
      <c r="M38">
        <f>INDEX(Sheet5!$A$2:$Z$2,MATCH("fwd_"&amp;LOWER(G38)&amp;"_additional", Sheet5!$A$1:$Z$1, 0)
)</f>
        <v>28.3</v>
      </c>
      <c r="N38">
        <f t="shared" si="5"/>
        <v>33</v>
      </c>
      <c r="O38">
        <f>INDEX(
Sheet5!$A$2:$Z$2,
MATCH("rto_"&amp;LOWER(G38)&amp;"_fixed", Sheet5!$A$1:$Z$1, 0)
)</f>
        <v>20.5</v>
      </c>
      <c r="P38">
        <f>INDEX(
Sheet5!$A$2:$Z$2,
MATCH("rto_"&amp;LOWER(G38)&amp;"_additional", Sheet5!$A$1:$Z$1, 0)
)</f>
        <v>28.3</v>
      </c>
      <c r="Q38">
        <f t="shared" si="9"/>
        <v>20.5</v>
      </c>
      <c r="R38">
        <f t="shared" si="6"/>
        <v>53.5</v>
      </c>
      <c r="S38">
        <f t="shared" si="7"/>
        <v>-7.7999999999999972</v>
      </c>
    </row>
    <row r="39" spans="1:19" x14ac:dyDescent="0.45">
      <c r="A39" t="s">
        <v>162</v>
      </c>
      <c r="B39" t="str">
        <f>_xlfn.XLOOKUP(A39,Sheet1!B:B,Sheet1!A:A)</f>
        <v>1091117222146</v>
      </c>
      <c r="C39" cm="1">
        <f t="array" ref="C39">SUMPRODUCT((Sheet2!$A$2:$A$1000=Sheet6!A39)*Sheet2!$C$2:$C$1000*IFERROR(VLOOKUP(Sheet2!$B$2:$B$1000,Sheet3!$A:$B,2,FALSE),0))/1000</f>
        <v>0.245</v>
      </c>
      <c r="D39">
        <f t="shared" si="2"/>
        <v>0.5</v>
      </c>
      <c r="E39" t="str">
        <f>VLOOKUP(A39,Sheet1!B:C,2,FALSE)</f>
        <v>1.27</v>
      </c>
      <c r="F39">
        <f t="shared" si="3"/>
        <v>1.5</v>
      </c>
      <c r="G39" t="str">
        <f>VLOOKUP(Sheet4!B39,Sheet4!B:C,2,FALSE)</f>
        <v>d</v>
      </c>
      <c r="H39">
        <f>VLOOKUP(A39,Sheet1!B:D,3,FALSE)</f>
        <v>121003</v>
      </c>
      <c r="I39" t="str">
        <f>VLOOKUP(A39,Sheet1!B:H,7,FALSE)</f>
        <v>135</v>
      </c>
      <c r="J39">
        <f t="shared" si="8"/>
        <v>1</v>
      </c>
      <c r="K39">
        <f t="shared" si="4"/>
        <v>0</v>
      </c>
      <c r="L39">
        <f>INDEX(Sheet5!$A$2:$T$2,MATCH("fwd_"&amp;LOWER(G39)&amp;"_fixed",Sheet5!$A$1:$T$1,0))</f>
        <v>45.4</v>
      </c>
      <c r="M39">
        <f>INDEX(Sheet5!$A$2:$Z$2,MATCH("fwd_"&amp;LOWER(G39)&amp;"_additional", Sheet5!$A$1:$Z$1, 0)
)</f>
        <v>44.8</v>
      </c>
      <c r="N39">
        <f t="shared" si="5"/>
        <v>45.4</v>
      </c>
      <c r="O39">
        <f>INDEX(
Sheet5!$A$2:$Z$2,
MATCH("rto_"&amp;LOWER(G39)&amp;"_fixed", Sheet5!$A$1:$Z$1, 0)
)</f>
        <v>41.3</v>
      </c>
      <c r="P39">
        <f>INDEX(
Sheet5!$A$2:$Z$2,
MATCH("rto_"&amp;LOWER(G39)&amp;"_additional", Sheet5!$A$1:$Z$1, 0)
)</f>
        <v>44.8</v>
      </c>
      <c r="Q39">
        <f t="shared" si="9"/>
        <v>41.3</v>
      </c>
      <c r="R39">
        <f t="shared" si="6"/>
        <v>86.699999999999989</v>
      </c>
      <c r="S39">
        <f t="shared" si="7"/>
        <v>-48.300000000000011</v>
      </c>
    </row>
    <row r="40" spans="1:19" x14ac:dyDescent="0.45">
      <c r="A40" t="s">
        <v>166</v>
      </c>
      <c r="B40" t="str">
        <f>_xlfn.XLOOKUP(A40,Sheet1!B:B,Sheet1!A:A)</f>
        <v>1091117222570</v>
      </c>
      <c r="C40" cm="1">
        <f t="array" ref="C40">SUMPRODUCT((Sheet2!$A$2:$A$1000=Sheet6!A40)*Sheet2!$C$2:$C$1000*IFERROR(VLOOKUP(Sheet2!$B$2:$B$1000,Sheet3!$A:$B,2,FALSE),0))/1000</f>
        <v>0.5</v>
      </c>
      <c r="D40">
        <f t="shared" si="2"/>
        <v>0.5</v>
      </c>
      <c r="E40" t="str">
        <f>VLOOKUP(A40,Sheet1!B:C,2,FALSE)</f>
        <v>0.7</v>
      </c>
      <c r="F40">
        <f t="shared" si="3"/>
        <v>1</v>
      </c>
      <c r="G40" t="str">
        <f>VLOOKUP(Sheet4!B40,Sheet4!B:C,2,FALSE)</f>
        <v>d</v>
      </c>
      <c r="H40">
        <f>VLOOKUP(A40,Sheet1!B:D,3,FALSE)</f>
        <v>121003</v>
      </c>
      <c r="I40" t="str">
        <f>VLOOKUP(A40,Sheet1!B:H,7,FALSE)</f>
        <v>90.2</v>
      </c>
      <c r="J40">
        <f t="shared" si="8"/>
        <v>1</v>
      </c>
      <c r="K40">
        <f t="shared" si="4"/>
        <v>0</v>
      </c>
      <c r="L40">
        <f>INDEX(Sheet5!$A$2:$T$2,MATCH("fwd_"&amp;LOWER(G40)&amp;"_fixed",Sheet5!$A$1:$T$1,0))</f>
        <v>45.4</v>
      </c>
      <c r="M40">
        <f>INDEX(Sheet5!$A$2:$Z$2,MATCH("fwd_"&amp;LOWER(G40)&amp;"_additional", Sheet5!$A$1:$Z$1, 0)
)</f>
        <v>44.8</v>
      </c>
      <c r="N40">
        <f t="shared" si="5"/>
        <v>45.4</v>
      </c>
      <c r="O40">
        <f>INDEX(
Sheet5!$A$2:$Z$2,
MATCH("rto_"&amp;LOWER(G40)&amp;"_fixed", Sheet5!$A$1:$Z$1, 0)
)</f>
        <v>41.3</v>
      </c>
      <c r="P40">
        <f>INDEX(
Sheet5!$A$2:$Z$2,
MATCH("rto_"&amp;LOWER(G40)&amp;"_additional", Sheet5!$A$1:$Z$1, 0)
)</f>
        <v>44.8</v>
      </c>
      <c r="Q40">
        <f t="shared" si="9"/>
        <v>41.3</v>
      </c>
      <c r="R40">
        <f t="shared" si="6"/>
        <v>86.699999999999989</v>
      </c>
      <c r="S40">
        <f t="shared" si="7"/>
        <v>-3.5000000000000142</v>
      </c>
    </row>
    <row r="41" spans="1:19" x14ac:dyDescent="0.45">
      <c r="A41" t="s">
        <v>169</v>
      </c>
      <c r="B41" t="str">
        <f>_xlfn.XLOOKUP(A41,Sheet1!B:B,Sheet1!A:A)</f>
        <v>1091117223211</v>
      </c>
      <c r="C41" cm="1">
        <f t="array" ref="C41">SUMPRODUCT((Sheet2!$A$2:$A$1000=Sheet6!A41)*Sheet2!$C$2:$C$1000*IFERROR(VLOOKUP(Sheet2!$B$2:$B$1000,Sheet3!$A:$B,2,FALSE),0))/1000</f>
        <v>0.5</v>
      </c>
      <c r="D41">
        <f t="shared" si="2"/>
        <v>0.5</v>
      </c>
      <c r="E41" t="str">
        <f>VLOOKUP(A41,Sheet1!B:C,2,FALSE)</f>
        <v>0.69</v>
      </c>
      <c r="F41">
        <f t="shared" si="3"/>
        <v>1</v>
      </c>
      <c r="G41" t="str">
        <f>VLOOKUP(Sheet4!B41,Sheet4!B:C,2,FALSE)</f>
        <v>d</v>
      </c>
      <c r="H41">
        <f>VLOOKUP(A41,Sheet1!B:D,3,FALSE)</f>
        <v>121003</v>
      </c>
      <c r="I41" t="str">
        <f>VLOOKUP(A41,Sheet1!B:H,7,FALSE)</f>
        <v>90.2</v>
      </c>
      <c r="J41">
        <f t="shared" si="8"/>
        <v>1</v>
      </c>
      <c r="K41">
        <f t="shared" si="4"/>
        <v>0</v>
      </c>
      <c r="L41">
        <f>INDEX(Sheet5!$A$2:$T$2,MATCH("fwd_"&amp;LOWER(G41)&amp;"_fixed",Sheet5!$A$1:$T$1,0))</f>
        <v>45.4</v>
      </c>
      <c r="M41">
        <f>INDEX(Sheet5!$A$2:$Z$2,MATCH("fwd_"&amp;LOWER(G41)&amp;"_additional", Sheet5!$A$1:$Z$1, 0)
)</f>
        <v>44.8</v>
      </c>
      <c r="N41">
        <f t="shared" si="5"/>
        <v>45.4</v>
      </c>
      <c r="O41">
        <f>INDEX(
Sheet5!$A$2:$Z$2,
MATCH("rto_"&amp;LOWER(G41)&amp;"_fixed", Sheet5!$A$1:$Z$1, 0)
)</f>
        <v>41.3</v>
      </c>
      <c r="P41">
        <f>INDEX(
Sheet5!$A$2:$Z$2,
MATCH("rto_"&amp;LOWER(G41)&amp;"_additional", Sheet5!$A$1:$Z$1, 0)
)</f>
        <v>44.8</v>
      </c>
      <c r="Q41">
        <f t="shared" si="9"/>
        <v>41.3</v>
      </c>
      <c r="R41">
        <f t="shared" si="6"/>
        <v>86.699999999999989</v>
      </c>
      <c r="S41">
        <f t="shared" si="7"/>
        <v>-3.5000000000000142</v>
      </c>
    </row>
    <row r="42" spans="1:19" x14ac:dyDescent="0.45">
      <c r="A42" t="s">
        <v>173</v>
      </c>
      <c r="B42" t="str">
        <f>_xlfn.XLOOKUP(A42,Sheet1!B:B,Sheet1!A:A)</f>
        <v>1091117224353</v>
      </c>
      <c r="C42" cm="1">
        <f t="array" ref="C42">SUMPRODUCT((Sheet2!$A$2:$A$1000=Sheet6!A42)*Sheet2!$C$2:$C$1000*IFERROR(VLOOKUP(Sheet2!$B$2:$B$1000,Sheet3!$A:$B,2,FALSE),0))/1000</f>
        <v>0.5</v>
      </c>
      <c r="D42">
        <f t="shared" si="2"/>
        <v>0.5</v>
      </c>
      <c r="E42" t="str">
        <f>VLOOKUP(A42,Sheet1!B:C,2,FALSE)</f>
        <v>0.68</v>
      </c>
      <c r="F42">
        <f t="shared" si="3"/>
        <v>1</v>
      </c>
      <c r="G42" t="str">
        <f>VLOOKUP(Sheet4!B42,Sheet4!B:C,2,FALSE)</f>
        <v>d</v>
      </c>
      <c r="H42">
        <f>VLOOKUP(A42,Sheet1!B:D,3,FALSE)</f>
        <v>121003</v>
      </c>
      <c r="I42" t="str">
        <f>VLOOKUP(A42,Sheet1!B:H,7,FALSE)</f>
        <v>90.2</v>
      </c>
      <c r="J42">
        <f t="shared" si="8"/>
        <v>1</v>
      </c>
      <c r="K42">
        <f t="shared" si="4"/>
        <v>0</v>
      </c>
      <c r="L42">
        <f>INDEX(Sheet5!$A$2:$T$2,MATCH("fwd_"&amp;LOWER(G42)&amp;"_fixed",Sheet5!$A$1:$T$1,0))</f>
        <v>45.4</v>
      </c>
      <c r="M42">
        <f>INDEX(Sheet5!$A$2:$Z$2,MATCH("fwd_"&amp;LOWER(G42)&amp;"_additional", Sheet5!$A$1:$Z$1, 0)
)</f>
        <v>44.8</v>
      </c>
      <c r="N42">
        <f t="shared" si="5"/>
        <v>45.4</v>
      </c>
      <c r="O42">
        <f>INDEX(
Sheet5!$A$2:$Z$2,
MATCH("rto_"&amp;LOWER(G42)&amp;"_fixed", Sheet5!$A$1:$Z$1, 0)
)</f>
        <v>41.3</v>
      </c>
      <c r="P42">
        <f>INDEX(
Sheet5!$A$2:$Z$2,
MATCH("rto_"&amp;LOWER(G42)&amp;"_additional", Sheet5!$A$1:$Z$1, 0)
)</f>
        <v>44.8</v>
      </c>
      <c r="Q42">
        <f t="shared" si="9"/>
        <v>41.3</v>
      </c>
      <c r="R42">
        <f t="shared" si="6"/>
        <v>86.699999999999989</v>
      </c>
      <c r="S42">
        <f t="shared" si="7"/>
        <v>-3.5000000000000142</v>
      </c>
    </row>
    <row r="43" spans="1:19" x14ac:dyDescent="0.45">
      <c r="A43" t="s">
        <v>176</v>
      </c>
      <c r="B43" t="str">
        <f>_xlfn.XLOOKUP(A43,Sheet1!B:B,Sheet1!A:A)</f>
        <v>1091117224611</v>
      </c>
      <c r="C43" cm="1">
        <f t="array" ref="C43">SUMPRODUCT((Sheet2!$A$2:$A$1000=Sheet6!A43)*Sheet2!$C$2:$C$1000*IFERROR(VLOOKUP(Sheet2!$B$2:$B$1000,Sheet3!$A:$B,2,FALSE),0))/1000</f>
        <v>0.127</v>
      </c>
      <c r="D43">
        <f t="shared" si="2"/>
        <v>0.5</v>
      </c>
      <c r="E43" t="str">
        <f>VLOOKUP(A43,Sheet1!B:C,2,FALSE)</f>
        <v>1</v>
      </c>
      <c r="F43">
        <f t="shared" si="3"/>
        <v>1</v>
      </c>
      <c r="G43" t="str">
        <f>VLOOKUP(Sheet4!B43,Sheet4!B:C,2,FALSE)</f>
        <v>b</v>
      </c>
      <c r="H43">
        <f>VLOOKUP(A43,Sheet1!B:D,3,FALSE)</f>
        <v>121003</v>
      </c>
      <c r="I43" t="str">
        <f>VLOOKUP(A43,Sheet1!B:H,7,FALSE)</f>
        <v>61.3</v>
      </c>
      <c r="J43">
        <f t="shared" si="8"/>
        <v>1</v>
      </c>
      <c r="K43">
        <f t="shared" si="4"/>
        <v>0</v>
      </c>
      <c r="L43">
        <f>INDEX(Sheet5!$A$2:$T$2,MATCH("fwd_"&amp;LOWER(G43)&amp;"_fixed",Sheet5!$A$1:$T$1,0))</f>
        <v>33</v>
      </c>
      <c r="M43">
        <f>INDEX(Sheet5!$A$2:$Z$2,MATCH("fwd_"&amp;LOWER(G43)&amp;"_additional", Sheet5!$A$1:$Z$1, 0)
)</f>
        <v>28.3</v>
      </c>
      <c r="N43">
        <f t="shared" si="5"/>
        <v>33</v>
      </c>
      <c r="O43">
        <f>INDEX(
Sheet5!$A$2:$Z$2,
MATCH("rto_"&amp;LOWER(G43)&amp;"_fixed", Sheet5!$A$1:$Z$1, 0)
)</f>
        <v>20.5</v>
      </c>
      <c r="P43">
        <f>INDEX(
Sheet5!$A$2:$Z$2,
MATCH("rto_"&amp;LOWER(G43)&amp;"_additional", Sheet5!$A$1:$Z$1, 0)
)</f>
        <v>28.3</v>
      </c>
      <c r="Q43">
        <f t="shared" si="9"/>
        <v>20.5</v>
      </c>
      <c r="R43">
        <f t="shared" si="6"/>
        <v>53.5</v>
      </c>
      <c r="S43">
        <f t="shared" si="7"/>
        <v>-7.7999999999999972</v>
      </c>
    </row>
    <row r="44" spans="1:19" x14ac:dyDescent="0.45">
      <c r="A44" t="s">
        <v>179</v>
      </c>
      <c r="B44" t="str">
        <f>_xlfn.XLOOKUP(A44,Sheet1!B:B,Sheet1!A:A)</f>
        <v>1091117224902</v>
      </c>
      <c r="C44" cm="1">
        <f t="array" ref="C44">SUMPRODUCT((Sheet2!$A$2:$A$1000=Sheet6!A44)*Sheet2!$C$2:$C$1000*IFERROR(VLOOKUP(Sheet2!$B$2:$B$1000,Sheet3!$A:$B,2,FALSE),0))/1000</f>
        <v>0.95199999999999996</v>
      </c>
      <c r="D44">
        <f t="shared" si="2"/>
        <v>1</v>
      </c>
      <c r="E44" t="str">
        <f>VLOOKUP(A44,Sheet1!B:C,2,FALSE)</f>
        <v>1.16</v>
      </c>
      <c r="F44">
        <f t="shared" si="3"/>
        <v>1.5</v>
      </c>
      <c r="G44" t="str">
        <f>VLOOKUP(Sheet4!B44,Sheet4!B:C,2,FALSE)</f>
        <v>d</v>
      </c>
      <c r="H44">
        <f>VLOOKUP(A44,Sheet1!B:D,3,FALSE)</f>
        <v>121003</v>
      </c>
      <c r="I44" t="str">
        <f>VLOOKUP(A44,Sheet1!B:H,7,FALSE)</f>
        <v>135</v>
      </c>
      <c r="J44">
        <f t="shared" si="8"/>
        <v>2</v>
      </c>
      <c r="K44">
        <f t="shared" si="4"/>
        <v>1</v>
      </c>
      <c r="L44">
        <f>INDEX(Sheet5!$A$2:$T$2,MATCH("fwd_"&amp;LOWER(G44)&amp;"_fixed",Sheet5!$A$1:$T$1,0))</f>
        <v>45.4</v>
      </c>
      <c r="M44">
        <f>INDEX(Sheet5!$A$2:$Z$2,MATCH("fwd_"&amp;LOWER(G44)&amp;"_additional", Sheet5!$A$1:$Z$1, 0)
)</f>
        <v>44.8</v>
      </c>
      <c r="N44">
        <f t="shared" si="5"/>
        <v>90.199999999999989</v>
      </c>
      <c r="O44">
        <f>INDEX(
Sheet5!$A$2:$Z$2,
MATCH("rto_"&amp;LOWER(G44)&amp;"_fixed", Sheet5!$A$1:$Z$1, 0)
)</f>
        <v>41.3</v>
      </c>
      <c r="P44">
        <f>INDEX(
Sheet5!$A$2:$Z$2,
MATCH("rto_"&amp;LOWER(G44)&amp;"_additional", Sheet5!$A$1:$Z$1, 0)
)</f>
        <v>44.8</v>
      </c>
      <c r="Q44">
        <f t="shared" si="9"/>
        <v>86.1</v>
      </c>
      <c r="R44">
        <f t="shared" si="6"/>
        <v>176.29999999999998</v>
      </c>
      <c r="S44">
        <f t="shared" si="7"/>
        <v>41.299999999999983</v>
      </c>
    </row>
    <row r="45" spans="1:19" x14ac:dyDescent="0.45">
      <c r="A45" t="s">
        <v>183</v>
      </c>
      <c r="B45" t="str">
        <f>_xlfn.XLOOKUP(A45,Sheet1!B:B,Sheet1!A:A)</f>
        <v>1091117225016</v>
      </c>
      <c r="C45" cm="1">
        <f t="array" ref="C45">SUMPRODUCT((Sheet2!$A$2:$A$1000=Sheet6!A45)*Sheet2!$C$2:$C$1000*IFERROR(VLOOKUP(Sheet2!$B$2:$B$1000,Sheet3!$A:$B,2,FALSE),0))/1000</f>
        <v>0.5</v>
      </c>
      <c r="D45">
        <f t="shared" si="2"/>
        <v>0.5</v>
      </c>
      <c r="E45" t="str">
        <f>VLOOKUP(A45,Sheet1!B:C,2,FALSE)</f>
        <v>0.68</v>
      </c>
      <c r="F45">
        <f t="shared" si="3"/>
        <v>1</v>
      </c>
      <c r="G45" t="str">
        <f>VLOOKUP(Sheet4!B45,Sheet4!B:C,2,FALSE)</f>
        <v>b</v>
      </c>
      <c r="H45">
        <f>VLOOKUP(A45,Sheet1!B:D,3,FALSE)</f>
        <v>121003</v>
      </c>
      <c r="I45" t="str">
        <f>VLOOKUP(A45,Sheet1!B:H,7,FALSE)</f>
        <v>61.3</v>
      </c>
      <c r="J45">
        <f t="shared" si="8"/>
        <v>1</v>
      </c>
      <c r="K45">
        <f t="shared" si="4"/>
        <v>0</v>
      </c>
      <c r="L45">
        <f>INDEX(Sheet5!$A$2:$T$2,MATCH("fwd_"&amp;LOWER(G45)&amp;"_fixed",Sheet5!$A$1:$T$1,0))</f>
        <v>33</v>
      </c>
      <c r="M45">
        <f>INDEX(Sheet5!$A$2:$Z$2,MATCH("fwd_"&amp;LOWER(G45)&amp;"_additional", Sheet5!$A$1:$Z$1, 0)
)</f>
        <v>28.3</v>
      </c>
      <c r="N45">
        <f t="shared" si="5"/>
        <v>33</v>
      </c>
      <c r="O45">
        <f>INDEX(
Sheet5!$A$2:$Z$2,
MATCH("rto_"&amp;LOWER(G45)&amp;"_fixed", Sheet5!$A$1:$Z$1, 0)
)</f>
        <v>20.5</v>
      </c>
      <c r="P45">
        <f>INDEX(
Sheet5!$A$2:$Z$2,
MATCH("rto_"&amp;LOWER(G45)&amp;"_additional", Sheet5!$A$1:$Z$1, 0)
)</f>
        <v>28.3</v>
      </c>
      <c r="Q45">
        <f t="shared" si="9"/>
        <v>20.5</v>
      </c>
      <c r="R45">
        <f t="shared" si="6"/>
        <v>53.5</v>
      </c>
      <c r="S45">
        <f t="shared" si="7"/>
        <v>-7.7999999999999972</v>
      </c>
    </row>
    <row r="46" spans="1:19" x14ac:dyDescent="0.45">
      <c r="A46" t="s">
        <v>186</v>
      </c>
      <c r="B46" t="str">
        <f>_xlfn.XLOOKUP(A46,Sheet1!B:B,Sheet1!A:A)</f>
        <v>1091117225484</v>
      </c>
      <c r="C46" cm="1">
        <f t="array" ref="C46">SUMPRODUCT((Sheet2!$A$2:$A$1000=Sheet6!A46)*Sheet2!$C$2:$C$1000*IFERROR(VLOOKUP(Sheet2!$B$2:$B$1000,Sheet3!$A:$B,2,FALSE),0))/1000</f>
        <v>0.96299999999999997</v>
      </c>
      <c r="D46">
        <f t="shared" si="2"/>
        <v>1</v>
      </c>
      <c r="E46" t="str">
        <f>VLOOKUP(A46,Sheet1!B:C,2,FALSE)</f>
        <v>1.08</v>
      </c>
      <c r="F46">
        <f t="shared" si="3"/>
        <v>1.5</v>
      </c>
      <c r="G46" t="str">
        <f>VLOOKUP(Sheet4!B46,Sheet4!B:C,2,FALSE)</f>
        <v>b</v>
      </c>
      <c r="H46">
        <f>VLOOKUP(A46,Sheet1!B:D,3,FALSE)</f>
        <v>121003</v>
      </c>
      <c r="I46" t="str">
        <f>VLOOKUP(A46,Sheet1!B:H,7,FALSE)</f>
        <v>89.6</v>
      </c>
      <c r="J46">
        <f t="shared" si="8"/>
        <v>2</v>
      </c>
      <c r="K46">
        <f t="shared" si="4"/>
        <v>1</v>
      </c>
      <c r="L46">
        <f>INDEX(Sheet5!$A$2:$T$2,MATCH("fwd_"&amp;LOWER(G46)&amp;"_fixed",Sheet5!$A$1:$T$1,0))</f>
        <v>33</v>
      </c>
      <c r="M46">
        <f>INDEX(Sheet5!$A$2:$Z$2,MATCH("fwd_"&amp;LOWER(G46)&amp;"_additional", Sheet5!$A$1:$Z$1, 0)
)</f>
        <v>28.3</v>
      </c>
      <c r="N46">
        <f t="shared" si="5"/>
        <v>61.3</v>
      </c>
      <c r="O46">
        <f>INDEX(
Sheet5!$A$2:$Z$2,
MATCH("rto_"&amp;LOWER(G46)&amp;"_fixed", Sheet5!$A$1:$Z$1, 0)
)</f>
        <v>20.5</v>
      </c>
      <c r="P46">
        <f>INDEX(
Sheet5!$A$2:$Z$2,
MATCH("rto_"&amp;LOWER(G46)&amp;"_additional", Sheet5!$A$1:$Z$1, 0)
)</f>
        <v>28.3</v>
      </c>
      <c r="Q46">
        <f t="shared" si="9"/>
        <v>48.8</v>
      </c>
      <c r="R46">
        <f t="shared" si="6"/>
        <v>110.1</v>
      </c>
      <c r="S46">
        <f t="shared" si="7"/>
        <v>20.5</v>
      </c>
    </row>
    <row r="47" spans="1:19" x14ac:dyDescent="0.45">
      <c r="A47" t="s">
        <v>189</v>
      </c>
      <c r="B47" t="str">
        <f>_xlfn.XLOOKUP(A47,Sheet1!B:B,Sheet1!A:A)</f>
        <v>1091117226221</v>
      </c>
      <c r="C47" cm="1">
        <f t="array" ref="C47">SUMPRODUCT((Sheet2!$A$2:$A$1000=Sheet6!A47)*Sheet2!$C$2:$C$1000*IFERROR(VLOOKUP(Sheet2!$B$2:$B$1000,Sheet3!$A:$B,2,FALSE),0))/1000</f>
        <v>0.5</v>
      </c>
      <c r="D47">
        <f t="shared" si="2"/>
        <v>0.5</v>
      </c>
      <c r="E47" t="str">
        <f>VLOOKUP(A47,Sheet1!B:C,2,FALSE)</f>
        <v>0.69</v>
      </c>
      <c r="F47">
        <f t="shared" si="3"/>
        <v>1</v>
      </c>
      <c r="G47" t="str">
        <f>VLOOKUP(Sheet4!B47,Sheet4!B:C,2,FALSE)</f>
        <v>d</v>
      </c>
      <c r="H47">
        <f>VLOOKUP(A47,Sheet1!B:D,3,FALSE)</f>
        <v>121003</v>
      </c>
      <c r="I47" t="str">
        <f>VLOOKUP(A47,Sheet1!B:H,7,FALSE)</f>
        <v>90.2</v>
      </c>
      <c r="J47">
        <f t="shared" si="8"/>
        <v>1</v>
      </c>
      <c r="K47">
        <f t="shared" si="4"/>
        <v>0</v>
      </c>
      <c r="L47">
        <f>INDEX(Sheet5!$A$2:$T$2,MATCH("fwd_"&amp;LOWER(G47)&amp;"_fixed",Sheet5!$A$1:$T$1,0))</f>
        <v>45.4</v>
      </c>
      <c r="M47">
        <f>INDEX(Sheet5!$A$2:$Z$2,MATCH("fwd_"&amp;LOWER(G47)&amp;"_additional", Sheet5!$A$1:$Z$1, 0)
)</f>
        <v>44.8</v>
      </c>
      <c r="N47">
        <f t="shared" si="5"/>
        <v>45.4</v>
      </c>
      <c r="O47">
        <f>INDEX(
Sheet5!$A$2:$Z$2,
MATCH("rto_"&amp;LOWER(G47)&amp;"_fixed", Sheet5!$A$1:$Z$1, 0)
)</f>
        <v>41.3</v>
      </c>
      <c r="P47">
        <f>INDEX(
Sheet5!$A$2:$Z$2,
MATCH("rto_"&amp;LOWER(G47)&amp;"_additional", Sheet5!$A$1:$Z$1, 0)
)</f>
        <v>44.8</v>
      </c>
      <c r="Q47">
        <f t="shared" si="9"/>
        <v>41.3</v>
      </c>
      <c r="R47">
        <f t="shared" si="6"/>
        <v>86.699999999999989</v>
      </c>
      <c r="S47">
        <f t="shared" si="7"/>
        <v>-3.5000000000000142</v>
      </c>
    </row>
    <row r="48" spans="1:19" x14ac:dyDescent="0.45">
      <c r="A48" t="s">
        <v>192</v>
      </c>
      <c r="B48" t="str">
        <f>_xlfn.XLOOKUP(A48,Sheet1!B:B,Sheet1!A:A)</f>
        <v>1091117226674</v>
      </c>
      <c r="C48" cm="1">
        <f t="array" ref="C48">SUMPRODUCT((Sheet2!$A$2:$A$1000=Sheet6!A48)*Sheet2!$C$2:$C$1000*IFERROR(VLOOKUP(Sheet2!$B$2:$B$1000,Sheet3!$A:$B,2,FALSE),0))/1000</f>
        <v>0.96699999999999997</v>
      </c>
      <c r="D48">
        <f t="shared" si="2"/>
        <v>1</v>
      </c>
      <c r="E48" t="str">
        <f>VLOOKUP(A48,Sheet1!B:C,2,FALSE)</f>
        <v>1.13</v>
      </c>
      <c r="F48">
        <f t="shared" si="3"/>
        <v>1.5</v>
      </c>
      <c r="G48" t="str">
        <f>VLOOKUP(Sheet4!B48,Sheet4!B:C,2,FALSE)</f>
        <v>d</v>
      </c>
      <c r="H48">
        <f>VLOOKUP(A48,Sheet1!B:D,3,FALSE)</f>
        <v>121003</v>
      </c>
      <c r="I48" t="str">
        <f>VLOOKUP(A48,Sheet1!B:H,7,FALSE)</f>
        <v>135</v>
      </c>
      <c r="J48">
        <f t="shared" si="8"/>
        <v>2</v>
      </c>
      <c r="K48">
        <f t="shared" si="4"/>
        <v>1</v>
      </c>
      <c r="L48">
        <f>INDEX(Sheet5!$A$2:$T$2,MATCH("fwd_"&amp;LOWER(G48)&amp;"_fixed",Sheet5!$A$1:$T$1,0))</f>
        <v>45.4</v>
      </c>
      <c r="M48">
        <f>INDEX(Sheet5!$A$2:$Z$2,MATCH("fwd_"&amp;LOWER(G48)&amp;"_additional", Sheet5!$A$1:$Z$1, 0)
)</f>
        <v>44.8</v>
      </c>
      <c r="N48">
        <f t="shared" si="5"/>
        <v>90.199999999999989</v>
      </c>
      <c r="O48">
        <f>INDEX(
Sheet5!$A$2:$Z$2,
MATCH("rto_"&amp;LOWER(G48)&amp;"_fixed", Sheet5!$A$1:$Z$1, 0)
)</f>
        <v>41.3</v>
      </c>
      <c r="P48">
        <f>INDEX(
Sheet5!$A$2:$Z$2,
MATCH("rto_"&amp;LOWER(G48)&amp;"_additional", Sheet5!$A$1:$Z$1, 0)
)</f>
        <v>44.8</v>
      </c>
      <c r="Q48">
        <f t="shared" si="9"/>
        <v>86.1</v>
      </c>
      <c r="R48">
        <f t="shared" si="6"/>
        <v>176.29999999999998</v>
      </c>
      <c r="S48">
        <f t="shared" si="7"/>
        <v>41.299999999999983</v>
      </c>
    </row>
    <row r="49" spans="1:19" x14ac:dyDescent="0.45">
      <c r="A49" t="s">
        <v>195</v>
      </c>
      <c r="B49" t="str">
        <f>_xlfn.XLOOKUP(A49,Sheet1!B:B,Sheet1!A:A)</f>
        <v>1091117226711</v>
      </c>
      <c r="C49" cm="1">
        <f t="array" ref="C49">SUMPRODUCT((Sheet2!$A$2:$A$1000=Sheet6!A49)*Sheet2!$C$2:$C$1000*IFERROR(VLOOKUP(Sheet2!$B$2:$B$1000,Sheet3!$A:$B,2,FALSE),0))/1000</f>
        <v>0.5</v>
      </c>
      <c r="D49">
        <f t="shared" si="2"/>
        <v>0.5</v>
      </c>
      <c r="E49" t="str">
        <f>VLOOKUP(A49,Sheet1!B:C,2,FALSE)</f>
        <v>0.69</v>
      </c>
      <c r="F49">
        <f t="shared" si="3"/>
        <v>1</v>
      </c>
      <c r="G49" t="str">
        <f>VLOOKUP(Sheet4!B49,Sheet4!B:C,2,FALSE)</f>
        <v>d</v>
      </c>
      <c r="H49">
        <f>VLOOKUP(A49,Sheet1!B:D,3,FALSE)</f>
        <v>121003</v>
      </c>
      <c r="I49" t="str">
        <f>VLOOKUP(A49,Sheet1!B:H,7,FALSE)</f>
        <v>90.2</v>
      </c>
      <c r="J49">
        <f t="shared" si="8"/>
        <v>1</v>
      </c>
      <c r="K49">
        <f t="shared" si="4"/>
        <v>0</v>
      </c>
      <c r="L49">
        <f>INDEX(Sheet5!$A$2:$T$2,MATCH("fwd_"&amp;LOWER(G49)&amp;"_fixed",Sheet5!$A$1:$T$1,0))</f>
        <v>45.4</v>
      </c>
      <c r="M49">
        <f>INDEX(Sheet5!$A$2:$Z$2,MATCH("fwd_"&amp;LOWER(G49)&amp;"_additional", Sheet5!$A$1:$Z$1, 0)
)</f>
        <v>44.8</v>
      </c>
      <c r="N49">
        <f t="shared" si="5"/>
        <v>45.4</v>
      </c>
      <c r="O49">
        <f>INDEX(
Sheet5!$A$2:$Z$2,
MATCH("rto_"&amp;LOWER(G49)&amp;"_fixed", Sheet5!$A$1:$Z$1, 0)
)</f>
        <v>41.3</v>
      </c>
      <c r="P49">
        <f>INDEX(
Sheet5!$A$2:$Z$2,
MATCH("rto_"&amp;LOWER(G49)&amp;"_additional", Sheet5!$A$1:$Z$1, 0)
)</f>
        <v>44.8</v>
      </c>
      <c r="Q49">
        <f t="shared" si="9"/>
        <v>41.3</v>
      </c>
      <c r="R49">
        <f t="shared" si="6"/>
        <v>86.699999999999989</v>
      </c>
      <c r="S49">
        <f t="shared" si="7"/>
        <v>-3.5000000000000142</v>
      </c>
    </row>
    <row r="50" spans="1:19" x14ac:dyDescent="0.45">
      <c r="A50" t="s">
        <v>198</v>
      </c>
      <c r="B50" t="str">
        <f>_xlfn.XLOOKUP(A50,Sheet1!B:B,Sheet1!A:A)</f>
        <v>1091117226910</v>
      </c>
      <c r="C50" cm="1">
        <f t="array" ref="C50">SUMPRODUCT((Sheet2!$A$2:$A$1000=Sheet6!A50)*Sheet2!$C$2:$C$1000*IFERROR(VLOOKUP(Sheet2!$B$2:$B$1000,Sheet3!$A:$B,2,FALSE),0))/1000</f>
        <v>0.5</v>
      </c>
      <c r="D50">
        <f t="shared" si="2"/>
        <v>0.5</v>
      </c>
      <c r="E50" t="str">
        <f>VLOOKUP(A50,Sheet1!B:C,2,FALSE)</f>
        <v>0.68</v>
      </c>
      <c r="F50">
        <f t="shared" si="3"/>
        <v>1</v>
      </c>
      <c r="G50" t="str">
        <f>VLOOKUP(Sheet4!B50,Sheet4!B:C,2,FALSE)</f>
        <v>d</v>
      </c>
      <c r="H50">
        <f>VLOOKUP(A50,Sheet1!B:D,3,FALSE)</f>
        <v>121003</v>
      </c>
      <c r="I50" t="str">
        <f>VLOOKUP(A50,Sheet1!B:H,7,FALSE)</f>
        <v>90.2</v>
      </c>
      <c r="J50">
        <f t="shared" si="8"/>
        <v>1</v>
      </c>
      <c r="K50">
        <f t="shared" si="4"/>
        <v>0</v>
      </c>
      <c r="L50">
        <f>INDEX(Sheet5!$A$2:$T$2,MATCH("fwd_"&amp;LOWER(G50)&amp;"_fixed",Sheet5!$A$1:$T$1,0))</f>
        <v>45.4</v>
      </c>
      <c r="M50">
        <f>INDEX(Sheet5!$A$2:$Z$2,MATCH("fwd_"&amp;LOWER(G50)&amp;"_additional", Sheet5!$A$1:$Z$1, 0)
)</f>
        <v>44.8</v>
      </c>
      <c r="N50">
        <f t="shared" si="5"/>
        <v>45.4</v>
      </c>
      <c r="O50">
        <f>INDEX(
Sheet5!$A$2:$Z$2,
MATCH("rto_"&amp;LOWER(G50)&amp;"_fixed", Sheet5!$A$1:$Z$1, 0)
)</f>
        <v>41.3</v>
      </c>
      <c r="P50">
        <f>INDEX(
Sheet5!$A$2:$Z$2,
MATCH("rto_"&amp;LOWER(G50)&amp;"_additional", Sheet5!$A$1:$Z$1, 0)
)</f>
        <v>44.8</v>
      </c>
      <c r="Q50">
        <f t="shared" si="9"/>
        <v>41.3</v>
      </c>
      <c r="R50">
        <f t="shared" si="6"/>
        <v>86.699999999999989</v>
      </c>
      <c r="S50">
        <f t="shared" si="7"/>
        <v>-3.5000000000000142</v>
      </c>
    </row>
    <row r="51" spans="1:19" x14ac:dyDescent="0.45">
      <c r="A51" t="s">
        <v>201</v>
      </c>
      <c r="B51" t="str">
        <f>_xlfn.XLOOKUP(A51,Sheet1!B:B,Sheet1!A:A)</f>
        <v>1091117227573</v>
      </c>
      <c r="C51" cm="1">
        <f t="array" ref="C51">SUMPRODUCT((Sheet2!$A$2:$A$1000=Sheet6!A51)*Sheet2!$C$2:$C$1000*IFERROR(VLOOKUP(Sheet2!$B$2:$B$1000,Sheet3!$A:$B,2,FALSE),0))/1000</f>
        <v>0.61099999999999999</v>
      </c>
      <c r="D51">
        <f t="shared" si="2"/>
        <v>1</v>
      </c>
      <c r="E51" t="str">
        <f>VLOOKUP(A51,Sheet1!B:C,2,FALSE)</f>
        <v>2.86</v>
      </c>
      <c r="F51">
        <f t="shared" si="3"/>
        <v>3</v>
      </c>
      <c r="G51" t="str">
        <f>VLOOKUP(Sheet4!B51,Sheet4!B:C,2,FALSE)</f>
        <v>b</v>
      </c>
      <c r="H51">
        <f>VLOOKUP(A51,Sheet1!B:D,3,FALSE)</f>
        <v>121003</v>
      </c>
      <c r="I51" t="str">
        <f>VLOOKUP(A51,Sheet1!B:H,7,FALSE)</f>
        <v>174.5</v>
      </c>
      <c r="J51">
        <f t="shared" si="8"/>
        <v>2</v>
      </c>
      <c r="K51">
        <f t="shared" si="4"/>
        <v>1</v>
      </c>
      <c r="L51">
        <f>INDEX(Sheet5!$A$2:$T$2,MATCH("fwd_"&amp;LOWER(G51)&amp;"_fixed",Sheet5!$A$1:$T$1,0))</f>
        <v>33</v>
      </c>
      <c r="M51">
        <f>INDEX(Sheet5!$A$2:$Z$2,MATCH("fwd_"&amp;LOWER(G51)&amp;"_additional", Sheet5!$A$1:$Z$1, 0)
)</f>
        <v>28.3</v>
      </c>
      <c r="N51">
        <f t="shared" si="5"/>
        <v>61.3</v>
      </c>
      <c r="O51">
        <f>INDEX(
Sheet5!$A$2:$Z$2,
MATCH("rto_"&amp;LOWER(G51)&amp;"_fixed", Sheet5!$A$1:$Z$1, 0)
)</f>
        <v>20.5</v>
      </c>
      <c r="P51">
        <f>INDEX(
Sheet5!$A$2:$Z$2,
MATCH("rto_"&amp;LOWER(G51)&amp;"_additional", Sheet5!$A$1:$Z$1, 0)
)</f>
        <v>28.3</v>
      </c>
      <c r="Q51">
        <f t="shared" si="9"/>
        <v>48.8</v>
      </c>
      <c r="R51">
        <f t="shared" si="6"/>
        <v>110.1</v>
      </c>
      <c r="S51">
        <f t="shared" si="7"/>
        <v>-64.400000000000006</v>
      </c>
    </row>
    <row r="52" spans="1:19" x14ac:dyDescent="0.45">
      <c r="A52" t="s">
        <v>205</v>
      </c>
      <c r="B52" t="str">
        <f>_xlfn.XLOOKUP(A52,Sheet1!B:B,Sheet1!A:A)</f>
        <v>1091117227816</v>
      </c>
      <c r="C52" cm="1">
        <f t="array" ref="C52">SUMPRODUCT((Sheet2!$A$2:$A$1000=Sheet6!A52)*Sheet2!$C$2:$C$1000*IFERROR(VLOOKUP(Sheet2!$B$2:$B$1000,Sheet3!$A:$B,2,FALSE),0))/1000</f>
        <v>0.36099999999999999</v>
      </c>
      <c r="D52">
        <f t="shared" si="2"/>
        <v>0.5</v>
      </c>
      <c r="E52" t="str">
        <f>VLOOKUP(A52,Sheet1!B:C,2,FALSE)</f>
        <v>1.35</v>
      </c>
      <c r="F52">
        <f t="shared" si="3"/>
        <v>1.5</v>
      </c>
      <c r="G52" t="str">
        <f>VLOOKUP(Sheet4!B52,Sheet4!B:C,2,FALSE)</f>
        <v>b</v>
      </c>
      <c r="H52">
        <f>VLOOKUP(A52,Sheet1!B:D,3,FALSE)</f>
        <v>121003</v>
      </c>
      <c r="I52" t="str">
        <f>VLOOKUP(A52,Sheet1!B:H,7,FALSE)</f>
        <v>89.6</v>
      </c>
      <c r="J52">
        <f t="shared" si="8"/>
        <v>1</v>
      </c>
      <c r="K52">
        <f t="shared" si="4"/>
        <v>0</v>
      </c>
      <c r="L52">
        <f>INDEX(Sheet5!$A$2:$T$2,MATCH("fwd_"&amp;LOWER(G52)&amp;"_fixed",Sheet5!$A$1:$T$1,0))</f>
        <v>33</v>
      </c>
      <c r="M52">
        <f>INDEX(Sheet5!$A$2:$Z$2,MATCH("fwd_"&amp;LOWER(G52)&amp;"_additional", Sheet5!$A$1:$Z$1, 0)
)</f>
        <v>28.3</v>
      </c>
      <c r="N52">
        <f t="shared" si="5"/>
        <v>33</v>
      </c>
      <c r="O52">
        <f>INDEX(
Sheet5!$A$2:$Z$2,
MATCH("rto_"&amp;LOWER(G52)&amp;"_fixed", Sheet5!$A$1:$Z$1, 0)
)</f>
        <v>20.5</v>
      </c>
      <c r="P52">
        <f>INDEX(
Sheet5!$A$2:$Z$2,
MATCH("rto_"&amp;LOWER(G52)&amp;"_additional", Sheet5!$A$1:$Z$1, 0)
)</f>
        <v>28.3</v>
      </c>
      <c r="Q52">
        <f t="shared" si="9"/>
        <v>20.5</v>
      </c>
      <c r="R52">
        <f t="shared" si="6"/>
        <v>53.5</v>
      </c>
      <c r="S52">
        <f t="shared" si="7"/>
        <v>-36.099999999999994</v>
      </c>
    </row>
    <row r="53" spans="1:19" x14ac:dyDescent="0.45">
      <c r="A53" t="s">
        <v>208</v>
      </c>
      <c r="B53" t="str">
        <f>_xlfn.XLOOKUP(A53,Sheet1!B:B,Sheet1!A:A)</f>
        <v>1091117229290</v>
      </c>
      <c r="C53" cm="1">
        <f t="array" ref="C53">SUMPRODUCT((Sheet2!$A$2:$A$1000=Sheet6!A53)*Sheet2!$C$2:$C$1000*IFERROR(VLOOKUP(Sheet2!$B$2:$B$1000,Sheet3!$A:$B,2,FALSE),0))/1000</f>
        <v>0.5</v>
      </c>
      <c r="D53">
        <f t="shared" si="2"/>
        <v>0.5</v>
      </c>
      <c r="E53" t="str">
        <f>VLOOKUP(A53,Sheet1!B:C,2,FALSE)</f>
        <v>0.68</v>
      </c>
      <c r="F53">
        <f t="shared" si="3"/>
        <v>1</v>
      </c>
      <c r="G53" t="str">
        <f>VLOOKUP(Sheet4!B53,Sheet4!B:C,2,FALSE)</f>
        <v>d</v>
      </c>
      <c r="H53">
        <f>VLOOKUP(A53,Sheet1!B:D,3,FALSE)</f>
        <v>121003</v>
      </c>
      <c r="I53" t="str">
        <f>VLOOKUP(A53,Sheet1!B:H,7,FALSE)</f>
        <v>90.2</v>
      </c>
      <c r="J53">
        <f t="shared" si="8"/>
        <v>1</v>
      </c>
      <c r="K53">
        <f t="shared" si="4"/>
        <v>0</v>
      </c>
      <c r="L53">
        <f>INDEX(Sheet5!$A$2:$T$2,MATCH("fwd_"&amp;LOWER(G53)&amp;"_fixed",Sheet5!$A$1:$T$1,0))</f>
        <v>45.4</v>
      </c>
      <c r="M53">
        <f>INDEX(Sheet5!$A$2:$Z$2,MATCH("fwd_"&amp;LOWER(G53)&amp;"_additional", Sheet5!$A$1:$Z$1, 0)
)</f>
        <v>44.8</v>
      </c>
      <c r="N53">
        <f t="shared" si="5"/>
        <v>45.4</v>
      </c>
      <c r="O53">
        <f>INDEX(
Sheet5!$A$2:$Z$2,
MATCH("rto_"&amp;LOWER(G53)&amp;"_fixed", Sheet5!$A$1:$Z$1, 0)
)</f>
        <v>41.3</v>
      </c>
      <c r="P53">
        <f>INDEX(
Sheet5!$A$2:$Z$2,
MATCH("rto_"&amp;LOWER(G53)&amp;"_additional", Sheet5!$A$1:$Z$1, 0)
)</f>
        <v>44.8</v>
      </c>
      <c r="Q53">
        <f t="shared" si="9"/>
        <v>41.3</v>
      </c>
      <c r="R53">
        <f t="shared" si="6"/>
        <v>86.699999999999989</v>
      </c>
      <c r="S53">
        <f t="shared" si="7"/>
        <v>-3.5000000000000142</v>
      </c>
    </row>
    <row r="54" spans="1:19" x14ac:dyDescent="0.45">
      <c r="A54" t="s">
        <v>211</v>
      </c>
      <c r="B54" t="str">
        <f>_xlfn.XLOOKUP(A54,Sheet1!B:B,Sheet1!A:A)</f>
        <v>1091117323005</v>
      </c>
      <c r="C54" cm="1">
        <f t="array" ref="C54">SUMPRODUCT((Sheet2!$A$2:$A$1000=Sheet6!A54)*Sheet2!$C$2:$C$1000*IFERROR(VLOOKUP(Sheet2!$B$2:$B$1000,Sheet3!$A:$B,2,FALSE),0))/1000</f>
        <v>1.4590000000000001</v>
      </c>
      <c r="D54">
        <f t="shared" si="2"/>
        <v>1.5</v>
      </c>
      <c r="E54" t="str">
        <f>VLOOKUP(A54,Sheet1!B:C,2,FALSE)</f>
        <v>1.64</v>
      </c>
      <c r="F54">
        <f t="shared" si="3"/>
        <v>2</v>
      </c>
      <c r="G54" t="str">
        <f>VLOOKUP(Sheet4!B54,Sheet4!B:C,2,FALSE)</f>
        <v>d</v>
      </c>
      <c r="H54">
        <f>VLOOKUP(A54,Sheet1!B:D,3,FALSE)</f>
        <v>121003</v>
      </c>
      <c r="I54" t="str">
        <f>VLOOKUP(A54,Sheet1!B:H,7,FALSE)</f>
        <v>179.8</v>
      </c>
      <c r="J54">
        <f t="shared" si="8"/>
        <v>3</v>
      </c>
      <c r="K54">
        <f t="shared" si="4"/>
        <v>2</v>
      </c>
      <c r="L54">
        <f>INDEX(Sheet5!$A$2:$T$2,MATCH("fwd_"&amp;LOWER(G54)&amp;"_fixed",Sheet5!$A$1:$T$1,0))</f>
        <v>45.4</v>
      </c>
      <c r="M54">
        <f>INDEX(Sheet5!$A$2:$Z$2,MATCH("fwd_"&amp;LOWER(G54)&amp;"_additional", Sheet5!$A$1:$Z$1, 0)
)</f>
        <v>44.8</v>
      </c>
      <c r="N54">
        <f t="shared" si="5"/>
        <v>135</v>
      </c>
      <c r="O54">
        <f>INDEX(
Sheet5!$A$2:$Z$2,
MATCH("rto_"&amp;LOWER(G54)&amp;"_fixed", Sheet5!$A$1:$Z$1, 0)
)</f>
        <v>41.3</v>
      </c>
      <c r="P54">
        <f>INDEX(
Sheet5!$A$2:$Z$2,
MATCH("rto_"&amp;LOWER(G54)&amp;"_additional", Sheet5!$A$1:$Z$1, 0)
)</f>
        <v>44.8</v>
      </c>
      <c r="Q54">
        <f t="shared" si="9"/>
        <v>130.89999999999998</v>
      </c>
      <c r="R54">
        <f t="shared" si="6"/>
        <v>265.89999999999998</v>
      </c>
      <c r="S54">
        <f t="shared" si="7"/>
        <v>86.099999999999966</v>
      </c>
    </row>
    <row r="55" spans="1:19" x14ac:dyDescent="0.45">
      <c r="A55" t="s">
        <v>216</v>
      </c>
      <c r="B55" t="str">
        <f>_xlfn.XLOOKUP(A55,Sheet1!B:B,Sheet1!A:A)</f>
        <v>1091117323215</v>
      </c>
      <c r="C55" cm="1">
        <f t="array" ref="C55">SUMPRODUCT((Sheet2!$A$2:$A$1000=Sheet6!A55)*Sheet2!$C$2:$C$1000*IFERROR(VLOOKUP(Sheet2!$B$2:$B$1000,Sheet3!$A:$B,2,FALSE),0))/1000</f>
        <v>0.5</v>
      </c>
      <c r="D55">
        <f t="shared" si="2"/>
        <v>0.5</v>
      </c>
      <c r="E55" t="str">
        <f>VLOOKUP(A55,Sheet1!B:C,2,FALSE)</f>
        <v>0.67</v>
      </c>
      <c r="F55">
        <f t="shared" si="3"/>
        <v>1</v>
      </c>
      <c r="G55" t="str">
        <f>VLOOKUP(Sheet4!B55,Sheet4!B:C,2,FALSE)</f>
        <v>d</v>
      </c>
      <c r="H55">
        <f>VLOOKUP(A55,Sheet1!B:D,3,FALSE)</f>
        <v>121003</v>
      </c>
      <c r="I55" t="str">
        <f>VLOOKUP(A55,Sheet1!B:H,7,FALSE)</f>
        <v>90.2</v>
      </c>
      <c r="J55">
        <f t="shared" si="8"/>
        <v>1</v>
      </c>
      <c r="K55">
        <f t="shared" si="4"/>
        <v>0</v>
      </c>
      <c r="L55">
        <f>INDEX(Sheet5!$A$2:$T$2,MATCH("fwd_"&amp;LOWER(G55)&amp;"_fixed",Sheet5!$A$1:$T$1,0))</f>
        <v>45.4</v>
      </c>
      <c r="M55">
        <f>INDEX(Sheet5!$A$2:$Z$2,MATCH("fwd_"&amp;LOWER(G55)&amp;"_additional", Sheet5!$A$1:$Z$1, 0)
)</f>
        <v>44.8</v>
      </c>
      <c r="N55">
        <f t="shared" si="5"/>
        <v>45.4</v>
      </c>
      <c r="O55">
        <f>INDEX(
Sheet5!$A$2:$Z$2,
MATCH("rto_"&amp;LOWER(G55)&amp;"_fixed", Sheet5!$A$1:$Z$1, 0)
)</f>
        <v>41.3</v>
      </c>
      <c r="P55">
        <f>INDEX(
Sheet5!$A$2:$Z$2,
MATCH("rto_"&amp;LOWER(G55)&amp;"_additional", Sheet5!$A$1:$Z$1, 0)
)</f>
        <v>44.8</v>
      </c>
      <c r="Q55">
        <f t="shared" si="9"/>
        <v>41.3</v>
      </c>
      <c r="R55">
        <f t="shared" si="6"/>
        <v>86.699999999999989</v>
      </c>
      <c r="S55">
        <f t="shared" si="7"/>
        <v>-3.5000000000000142</v>
      </c>
    </row>
    <row r="56" spans="1:19" x14ac:dyDescent="0.45">
      <c r="A56" t="s">
        <v>220</v>
      </c>
      <c r="B56" t="str">
        <f>_xlfn.XLOOKUP(A56,Sheet1!B:B,Sheet1!A:A)</f>
        <v>1091117324394</v>
      </c>
      <c r="C56" cm="1">
        <f t="array" ref="C56">SUMPRODUCT((Sheet2!$A$2:$A$1000=Sheet6!A56)*Sheet2!$C$2:$C$1000*IFERROR(VLOOKUP(Sheet2!$B$2:$B$1000,Sheet3!$A:$B,2,FALSE),0))/1000</f>
        <v>2.016</v>
      </c>
      <c r="D56">
        <f t="shared" si="2"/>
        <v>2.5</v>
      </c>
      <c r="E56" t="str">
        <f>VLOOKUP(A56,Sheet1!B:C,2,FALSE)</f>
        <v>2</v>
      </c>
      <c r="F56">
        <f t="shared" si="3"/>
        <v>2</v>
      </c>
      <c r="G56" t="str">
        <f>VLOOKUP(Sheet4!B56,Sheet4!B:C,2,FALSE)</f>
        <v>d</v>
      </c>
      <c r="H56">
        <f>VLOOKUP(A56,Sheet1!B:D,3,FALSE)</f>
        <v>121003</v>
      </c>
      <c r="I56" t="str">
        <f>VLOOKUP(A56,Sheet1!B:H,7,FALSE)</f>
        <v>179.8</v>
      </c>
      <c r="J56">
        <f t="shared" si="8"/>
        <v>5</v>
      </c>
      <c r="K56">
        <f t="shared" si="4"/>
        <v>4</v>
      </c>
      <c r="L56">
        <f>INDEX(Sheet5!$A$2:$T$2,MATCH("fwd_"&amp;LOWER(G56)&amp;"_fixed",Sheet5!$A$1:$T$1,0))</f>
        <v>45.4</v>
      </c>
      <c r="M56">
        <f>INDEX(Sheet5!$A$2:$Z$2,MATCH("fwd_"&amp;LOWER(G56)&amp;"_additional", Sheet5!$A$1:$Z$1, 0)
)</f>
        <v>44.8</v>
      </c>
      <c r="N56">
        <f t="shared" si="5"/>
        <v>224.6</v>
      </c>
      <c r="O56">
        <f>INDEX(
Sheet5!$A$2:$Z$2,
MATCH("rto_"&amp;LOWER(G56)&amp;"_fixed", Sheet5!$A$1:$Z$1, 0)
)</f>
        <v>41.3</v>
      </c>
      <c r="P56">
        <f>INDEX(
Sheet5!$A$2:$Z$2,
MATCH("rto_"&amp;LOWER(G56)&amp;"_additional", Sheet5!$A$1:$Z$1, 0)
)</f>
        <v>44.8</v>
      </c>
      <c r="Q56">
        <f t="shared" si="9"/>
        <v>220.5</v>
      </c>
      <c r="R56">
        <f t="shared" si="6"/>
        <v>445.1</v>
      </c>
      <c r="S56">
        <f t="shared" si="7"/>
        <v>265.3</v>
      </c>
    </row>
    <row r="57" spans="1:19" x14ac:dyDescent="0.45">
      <c r="A57" t="s">
        <v>224</v>
      </c>
      <c r="B57" t="str">
        <f>_xlfn.XLOOKUP(A57,Sheet1!B:B,Sheet1!A:A)</f>
        <v>1091117325094</v>
      </c>
      <c r="C57" cm="1">
        <f t="array" ref="C57">SUMPRODUCT((Sheet2!$A$2:$A$1000=Sheet6!A57)*Sheet2!$C$2:$C$1000*IFERROR(VLOOKUP(Sheet2!$B$2:$B$1000,Sheet3!$A:$B,2,FALSE),0))/1000</f>
        <v>1.048</v>
      </c>
      <c r="D57">
        <f t="shared" si="2"/>
        <v>1.5</v>
      </c>
      <c r="E57" t="str">
        <f>VLOOKUP(A57,Sheet1!B:C,2,FALSE)</f>
        <v>1</v>
      </c>
      <c r="F57">
        <f t="shared" si="3"/>
        <v>1</v>
      </c>
      <c r="G57" t="str">
        <f>VLOOKUP(Sheet4!B57,Sheet4!B:C,2,FALSE)</f>
        <v>b</v>
      </c>
      <c r="H57">
        <f>VLOOKUP(A57,Sheet1!B:D,3,FALSE)</f>
        <v>121003</v>
      </c>
      <c r="I57" t="str">
        <f>VLOOKUP(A57,Sheet1!B:H,7,FALSE)</f>
        <v>61.3</v>
      </c>
      <c r="J57">
        <f t="shared" si="8"/>
        <v>3</v>
      </c>
      <c r="K57">
        <f t="shared" si="4"/>
        <v>2</v>
      </c>
      <c r="L57">
        <f>INDEX(Sheet5!$A$2:$T$2,MATCH("fwd_"&amp;LOWER(G57)&amp;"_fixed",Sheet5!$A$1:$T$1,0))</f>
        <v>33</v>
      </c>
      <c r="M57">
        <f>INDEX(Sheet5!$A$2:$Z$2,MATCH("fwd_"&amp;LOWER(G57)&amp;"_additional", Sheet5!$A$1:$Z$1, 0)
)</f>
        <v>28.3</v>
      </c>
      <c r="N57">
        <f t="shared" si="5"/>
        <v>89.6</v>
      </c>
      <c r="O57">
        <f>INDEX(
Sheet5!$A$2:$Z$2,
MATCH("rto_"&amp;LOWER(G57)&amp;"_fixed", Sheet5!$A$1:$Z$1, 0)
)</f>
        <v>20.5</v>
      </c>
      <c r="P57">
        <f>INDEX(
Sheet5!$A$2:$Z$2,
MATCH("rto_"&amp;LOWER(G57)&amp;"_additional", Sheet5!$A$1:$Z$1, 0)
)</f>
        <v>28.3</v>
      </c>
      <c r="Q57">
        <f t="shared" si="9"/>
        <v>77.099999999999994</v>
      </c>
      <c r="R57">
        <f t="shared" si="6"/>
        <v>166.7</v>
      </c>
      <c r="S57">
        <f t="shared" si="7"/>
        <v>105.39999999999999</v>
      </c>
    </row>
    <row r="58" spans="1:19" x14ac:dyDescent="0.45">
      <c r="A58" t="s">
        <v>227</v>
      </c>
      <c r="B58" t="str">
        <f>_xlfn.XLOOKUP(A58,Sheet1!B:B,Sheet1!A:A)</f>
        <v>1091117616121</v>
      </c>
      <c r="C58" cm="1">
        <f t="array" ref="C58">SUMPRODUCT((Sheet2!$A$2:$A$1000=Sheet6!A58)*Sheet2!$C$2:$C$1000*IFERROR(VLOOKUP(Sheet2!$B$2:$B$1000,Sheet3!$A:$B,2,FALSE),0))/1000</f>
        <v>1.5049999999999999</v>
      </c>
      <c r="D58">
        <f t="shared" si="2"/>
        <v>2</v>
      </c>
      <c r="E58" t="str">
        <f>VLOOKUP(A58,Sheet1!B:C,2,FALSE)</f>
        <v>1.5</v>
      </c>
      <c r="F58">
        <f t="shared" si="3"/>
        <v>1.5</v>
      </c>
      <c r="G58" t="str">
        <f>VLOOKUP(Sheet4!B58,Sheet4!B:C,2,FALSE)</f>
        <v>b</v>
      </c>
      <c r="H58">
        <f>VLOOKUP(A58,Sheet1!B:D,3,FALSE)</f>
        <v>121003</v>
      </c>
      <c r="I58" t="str">
        <f>VLOOKUP(A58,Sheet1!B:H,7,FALSE)</f>
        <v>89.6</v>
      </c>
      <c r="J58">
        <f t="shared" si="8"/>
        <v>4</v>
      </c>
      <c r="K58">
        <f t="shared" si="4"/>
        <v>3</v>
      </c>
      <c r="L58">
        <f>INDEX(Sheet5!$A$2:$T$2,MATCH("fwd_"&amp;LOWER(G58)&amp;"_fixed",Sheet5!$A$1:$T$1,0))</f>
        <v>33</v>
      </c>
      <c r="M58">
        <f>INDEX(Sheet5!$A$2:$Z$2,MATCH("fwd_"&amp;LOWER(G58)&amp;"_additional", Sheet5!$A$1:$Z$1, 0)
)</f>
        <v>28.3</v>
      </c>
      <c r="N58">
        <f t="shared" si="5"/>
        <v>117.9</v>
      </c>
      <c r="O58">
        <f>INDEX(
Sheet5!$A$2:$Z$2,
MATCH("rto_"&amp;LOWER(G58)&amp;"_fixed", Sheet5!$A$1:$Z$1, 0)
)</f>
        <v>20.5</v>
      </c>
      <c r="P58">
        <f>INDEX(
Sheet5!$A$2:$Z$2,
MATCH("rto_"&amp;LOWER(G58)&amp;"_additional", Sheet5!$A$1:$Z$1, 0)
)</f>
        <v>28.3</v>
      </c>
      <c r="Q58">
        <f t="shared" si="9"/>
        <v>105.4</v>
      </c>
      <c r="R58">
        <f t="shared" si="6"/>
        <v>223.3</v>
      </c>
      <c r="S58">
        <f t="shared" si="7"/>
        <v>133.70000000000002</v>
      </c>
    </row>
    <row r="59" spans="1:19" x14ac:dyDescent="0.45">
      <c r="A59" t="s">
        <v>231</v>
      </c>
      <c r="B59" t="str">
        <f>_xlfn.XLOOKUP(A59,Sheet1!B:B,Sheet1!A:A)</f>
        <v>1091117795531</v>
      </c>
      <c r="C59" cm="1">
        <f t="array" ref="C59">SUMPRODUCT((Sheet2!$A$2:$A$1000=Sheet6!A59)*Sheet2!$C$2:$C$1000*IFERROR(VLOOKUP(Sheet2!$B$2:$B$1000,Sheet3!$A:$B,2,FALSE),0))/1000</f>
        <v>1.5169999999999999</v>
      </c>
      <c r="D59">
        <f t="shared" si="2"/>
        <v>2</v>
      </c>
      <c r="E59" t="str">
        <f>VLOOKUP(A59,Sheet1!B:C,2,FALSE)</f>
        <v>1.5</v>
      </c>
      <c r="F59">
        <f t="shared" si="3"/>
        <v>1.5</v>
      </c>
      <c r="G59" t="str">
        <f>VLOOKUP(Sheet4!B59,Sheet4!B:C,2,FALSE)</f>
        <v>d</v>
      </c>
      <c r="H59">
        <f>VLOOKUP(A59,Sheet1!B:D,3,FALSE)</f>
        <v>121003</v>
      </c>
      <c r="I59" t="str">
        <f>VLOOKUP(A59,Sheet1!B:H,7,FALSE)</f>
        <v>135</v>
      </c>
      <c r="J59">
        <f t="shared" si="8"/>
        <v>4</v>
      </c>
      <c r="K59">
        <f t="shared" si="4"/>
        <v>3</v>
      </c>
      <c r="L59">
        <f>INDEX(Sheet5!$A$2:$T$2,MATCH("fwd_"&amp;LOWER(G59)&amp;"_fixed",Sheet5!$A$1:$T$1,0))</f>
        <v>45.4</v>
      </c>
      <c r="M59">
        <f>INDEX(Sheet5!$A$2:$Z$2,MATCH("fwd_"&amp;LOWER(G59)&amp;"_additional", Sheet5!$A$1:$Z$1, 0)
)</f>
        <v>44.8</v>
      </c>
      <c r="N59">
        <f t="shared" si="5"/>
        <v>179.79999999999998</v>
      </c>
      <c r="O59">
        <f>INDEX(
Sheet5!$A$2:$Z$2,
MATCH("rto_"&amp;LOWER(G59)&amp;"_fixed", Sheet5!$A$1:$Z$1, 0)
)</f>
        <v>41.3</v>
      </c>
      <c r="P59">
        <f>INDEX(
Sheet5!$A$2:$Z$2,
MATCH("rto_"&amp;LOWER(G59)&amp;"_additional", Sheet5!$A$1:$Z$1, 0)
)</f>
        <v>44.8</v>
      </c>
      <c r="Q59">
        <f t="shared" si="9"/>
        <v>175.7</v>
      </c>
      <c r="R59">
        <f t="shared" si="6"/>
        <v>355.5</v>
      </c>
      <c r="S59">
        <f t="shared" si="7"/>
        <v>220.5</v>
      </c>
    </row>
    <row r="60" spans="1:19" x14ac:dyDescent="0.45">
      <c r="A60" t="s">
        <v>234</v>
      </c>
      <c r="B60" t="str">
        <f>_xlfn.XLOOKUP(A60,Sheet1!B:B,Sheet1!A:A)</f>
        <v>1091117795623</v>
      </c>
      <c r="C60" cm="1">
        <f t="array" ref="C60">SUMPRODUCT((Sheet2!$A$2:$A$1000=Sheet6!A60)*Sheet2!$C$2:$C$1000*IFERROR(VLOOKUP(Sheet2!$B$2:$B$1000,Sheet3!$A:$B,2,FALSE),0))/1000</f>
        <v>3.08</v>
      </c>
      <c r="D60">
        <f t="shared" si="2"/>
        <v>3.5</v>
      </c>
      <c r="E60" t="str">
        <f>VLOOKUP(A60,Sheet1!B:C,2,FALSE)</f>
        <v>3</v>
      </c>
      <c r="F60">
        <f t="shared" si="3"/>
        <v>3</v>
      </c>
      <c r="G60" t="str">
        <f>VLOOKUP(Sheet4!B60,Sheet4!B:C,2,FALSE)</f>
        <v>d</v>
      </c>
      <c r="H60">
        <f>VLOOKUP(A60,Sheet1!B:D,3,FALSE)</f>
        <v>121003</v>
      </c>
      <c r="I60" t="str">
        <f>VLOOKUP(A60,Sheet1!B:H,7,FALSE)</f>
        <v>269.4</v>
      </c>
      <c r="J60">
        <f t="shared" si="8"/>
        <v>7</v>
      </c>
      <c r="K60">
        <f t="shared" si="4"/>
        <v>6</v>
      </c>
      <c r="L60">
        <f>INDEX(Sheet5!$A$2:$T$2,MATCH("fwd_"&amp;LOWER(G60)&amp;"_fixed",Sheet5!$A$1:$T$1,0))</f>
        <v>45.4</v>
      </c>
      <c r="M60">
        <f>INDEX(Sheet5!$A$2:$Z$2,MATCH("fwd_"&amp;LOWER(G60)&amp;"_additional", Sheet5!$A$1:$Z$1, 0)
)</f>
        <v>44.8</v>
      </c>
      <c r="N60">
        <f t="shared" si="5"/>
        <v>314.19999999999993</v>
      </c>
      <c r="O60">
        <f>INDEX(
Sheet5!$A$2:$Z$2,
MATCH("rto_"&amp;LOWER(G60)&amp;"_fixed", Sheet5!$A$1:$Z$1, 0)
)</f>
        <v>41.3</v>
      </c>
      <c r="P60">
        <f>INDEX(
Sheet5!$A$2:$Z$2,
MATCH("rto_"&amp;LOWER(G60)&amp;"_additional", Sheet5!$A$1:$Z$1, 0)
)</f>
        <v>44.8</v>
      </c>
      <c r="Q60">
        <f t="shared" si="9"/>
        <v>310.09999999999997</v>
      </c>
      <c r="R60">
        <f t="shared" si="6"/>
        <v>624.29999999999995</v>
      </c>
      <c r="S60">
        <f t="shared" si="7"/>
        <v>354.9</v>
      </c>
    </row>
    <row r="61" spans="1:19" x14ac:dyDescent="0.45">
      <c r="A61" t="s">
        <v>239</v>
      </c>
      <c r="B61" t="str">
        <f>_xlfn.XLOOKUP(A61,Sheet1!B:B,Sheet1!A:A)</f>
        <v>1091117223351</v>
      </c>
      <c r="C61" cm="1">
        <f t="array" ref="C61">SUMPRODUCT((Sheet2!$A$2:$A$1000=Sheet6!A61)*Sheet2!$C$2:$C$1000*IFERROR(VLOOKUP(Sheet2!$B$2:$B$1000,Sheet3!$A:$B,2,FALSE),0))/1000</f>
        <v>1.621</v>
      </c>
      <c r="D61">
        <f t="shared" si="2"/>
        <v>2</v>
      </c>
      <c r="E61" t="str">
        <f>VLOOKUP(A61,Sheet1!B:C,2,FALSE)</f>
        <v>1.7</v>
      </c>
      <c r="F61">
        <f t="shared" si="3"/>
        <v>2</v>
      </c>
      <c r="G61" t="str">
        <f>VLOOKUP(Sheet4!B61,Sheet4!B:C,2,FALSE)</f>
        <v>b</v>
      </c>
      <c r="H61">
        <f>VLOOKUP(A61,Sheet1!B:D,3,FALSE)</f>
        <v>121003</v>
      </c>
      <c r="I61" t="str">
        <f>VLOOKUP(A61,Sheet1!B:H,7,FALSE)</f>
        <v>179.8</v>
      </c>
      <c r="J61">
        <f t="shared" si="8"/>
        <v>4</v>
      </c>
      <c r="K61">
        <f t="shared" si="4"/>
        <v>3</v>
      </c>
      <c r="L61">
        <f>INDEX(Sheet5!$A$2:$T$2,MATCH("fwd_"&amp;LOWER(G61)&amp;"_fixed",Sheet5!$A$1:$T$1,0))</f>
        <v>33</v>
      </c>
      <c r="M61">
        <f>INDEX(Sheet5!$A$2:$Z$2,MATCH("fwd_"&amp;LOWER(G61)&amp;"_additional", Sheet5!$A$1:$Z$1, 0)
)</f>
        <v>28.3</v>
      </c>
      <c r="N61">
        <f t="shared" si="5"/>
        <v>117.9</v>
      </c>
      <c r="O61">
        <f>INDEX(
Sheet5!$A$2:$Z$2,
MATCH("rto_"&amp;LOWER(G61)&amp;"_fixed", Sheet5!$A$1:$Z$1, 0)
)</f>
        <v>20.5</v>
      </c>
      <c r="P61">
        <f>INDEX(
Sheet5!$A$2:$Z$2,
MATCH("rto_"&amp;LOWER(G61)&amp;"_additional", Sheet5!$A$1:$Z$1, 0)
)</f>
        <v>28.3</v>
      </c>
      <c r="Q61">
        <f t="shared" si="9"/>
        <v>105.4</v>
      </c>
      <c r="R61">
        <f t="shared" si="6"/>
        <v>223.3</v>
      </c>
      <c r="S61">
        <f t="shared" si="7"/>
        <v>43.5</v>
      </c>
    </row>
    <row r="62" spans="1:19" x14ac:dyDescent="0.45">
      <c r="A62" t="s">
        <v>243</v>
      </c>
      <c r="B62" t="str">
        <f>_xlfn.XLOOKUP(A62,Sheet1!B:B,Sheet1!A:A)</f>
        <v>1091117324011</v>
      </c>
      <c r="C62" cm="1">
        <f t="array" ref="C62">SUMPRODUCT((Sheet2!$A$2:$A$1000=Sheet6!A62)*Sheet2!$C$2:$C$1000*IFERROR(VLOOKUP(Sheet2!$B$2:$B$1000,Sheet3!$A:$B,2,FALSE),0))/1000</f>
        <v>0.60699999999999998</v>
      </c>
      <c r="D62">
        <f t="shared" si="2"/>
        <v>1</v>
      </c>
      <c r="E62" t="str">
        <f>VLOOKUP(A62,Sheet1!B:C,2,FALSE)</f>
        <v>0.79</v>
      </c>
      <c r="F62">
        <f t="shared" si="3"/>
        <v>1</v>
      </c>
      <c r="G62" t="str">
        <f>VLOOKUP(Sheet4!B62,Sheet4!B:C,2,FALSE)</f>
        <v>b</v>
      </c>
      <c r="H62">
        <f>VLOOKUP(A62,Sheet1!B:D,3,FALSE)</f>
        <v>121003</v>
      </c>
      <c r="I62" t="str">
        <f>VLOOKUP(A62,Sheet1!B:H,7,FALSE)</f>
        <v>90.2</v>
      </c>
      <c r="J62">
        <f t="shared" si="8"/>
        <v>2</v>
      </c>
      <c r="K62">
        <f t="shared" si="4"/>
        <v>1</v>
      </c>
      <c r="L62">
        <f>INDEX(Sheet5!$A$2:$T$2,MATCH("fwd_"&amp;LOWER(G62)&amp;"_fixed",Sheet5!$A$1:$T$1,0))</f>
        <v>33</v>
      </c>
      <c r="M62">
        <f>INDEX(Sheet5!$A$2:$Z$2,MATCH("fwd_"&amp;LOWER(G62)&amp;"_additional", Sheet5!$A$1:$Z$1, 0)
)</f>
        <v>28.3</v>
      </c>
      <c r="N62">
        <f t="shared" si="5"/>
        <v>61.3</v>
      </c>
      <c r="O62">
        <f>INDEX(
Sheet5!$A$2:$Z$2,
MATCH("rto_"&amp;LOWER(G62)&amp;"_fixed", Sheet5!$A$1:$Z$1, 0)
)</f>
        <v>20.5</v>
      </c>
      <c r="P62">
        <f>INDEX(
Sheet5!$A$2:$Z$2,
MATCH("rto_"&amp;LOWER(G62)&amp;"_additional", Sheet5!$A$1:$Z$1, 0)
)</f>
        <v>28.3</v>
      </c>
      <c r="Q62">
        <f t="shared" si="9"/>
        <v>48.8</v>
      </c>
      <c r="R62">
        <f t="shared" si="6"/>
        <v>110.1</v>
      </c>
      <c r="S62">
        <f t="shared" si="7"/>
        <v>19.899999999999991</v>
      </c>
    </row>
    <row r="63" spans="1:19" x14ac:dyDescent="0.45">
      <c r="A63" t="s">
        <v>246</v>
      </c>
      <c r="B63" t="str">
        <f>_xlfn.XLOOKUP(A63,Sheet1!B:B,Sheet1!A:A)</f>
        <v>1091117327570</v>
      </c>
      <c r="C63" cm="1">
        <f t="array" ref="C63">SUMPRODUCT((Sheet2!$A$2:$A$1000=Sheet6!A63)*Sheet2!$C$2:$C$1000*IFERROR(VLOOKUP(Sheet2!$B$2:$B$1000,Sheet3!$A:$B,2,FALSE),0))/1000</f>
        <v>0.5</v>
      </c>
      <c r="D63">
        <f t="shared" si="2"/>
        <v>0.5</v>
      </c>
      <c r="E63" t="str">
        <f>VLOOKUP(A63,Sheet1!B:C,2,FALSE)</f>
        <v>0.5</v>
      </c>
      <c r="F63">
        <f t="shared" si="3"/>
        <v>0.5</v>
      </c>
      <c r="G63" t="str">
        <f>VLOOKUP(Sheet4!B63,Sheet4!B:C,2,FALSE)</f>
        <v>b</v>
      </c>
      <c r="H63">
        <f>VLOOKUP(A63,Sheet1!B:D,3,FALSE)</f>
        <v>121003</v>
      </c>
      <c r="I63" t="str">
        <f>VLOOKUP(A63,Sheet1!B:H,7,FALSE)</f>
        <v>45.4</v>
      </c>
      <c r="J63">
        <f t="shared" si="8"/>
        <v>1</v>
      </c>
      <c r="K63">
        <f t="shared" si="4"/>
        <v>0</v>
      </c>
      <c r="L63">
        <f>INDEX(Sheet5!$A$2:$T$2,MATCH("fwd_"&amp;LOWER(G63)&amp;"_fixed",Sheet5!$A$1:$T$1,0))</f>
        <v>33</v>
      </c>
      <c r="M63">
        <f>INDEX(Sheet5!$A$2:$Z$2,MATCH("fwd_"&amp;LOWER(G63)&amp;"_additional", Sheet5!$A$1:$Z$1, 0)
)</f>
        <v>28.3</v>
      </c>
      <c r="N63">
        <f t="shared" si="5"/>
        <v>33</v>
      </c>
      <c r="O63">
        <f>INDEX(
Sheet5!$A$2:$Z$2,
MATCH("rto_"&amp;LOWER(G63)&amp;"_fixed", Sheet5!$A$1:$Z$1, 0)
)</f>
        <v>20.5</v>
      </c>
      <c r="P63">
        <f>INDEX(
Sheet5!$A$2:$Z$2,
MATCH("rto_"&amp;LOWER(G63)&amp;"_additional", Sheet5!$A$1:$Z$1, 0)
)</f>
        <v>28.3</v>
      </c>
      <c r="Q63">
        <f t="shared" si="9"/>
        <v>20.5</v>
      </c>
      <c r="R63">
        <f t="shared" si="6"/>
        <v>53.5</v>
      </c>
      <c r="S63">
        <f t="shared" si="7"/>
        <v>8.1000000000000014</v>
      </c>
    </row>
    <row r="64" spans="1:19" x14ac:dyDescent="0.45">
      <c r="A64" t="s">
        <v>249</v>
      </c>
      <c r="B64" t="str">
        <f>_xlfn.XLOOKUP(A64,Sheet1!B:B,Sheet1!A:A)</f>
        <v>1091117435602</v>
      </c>
      <c r="C64" cm="1">
        <f t="array" ref="C64">SUMPRODUCT((Sheet2!$A$2:$A$1000=Sheet6!A64)*Sheet2!$C$2:$C$1000*IFERROR(VLOOKUP(Sheet2!$B$2:$B$1000,Sheet3!$A:$B,2,FALSE),0))/1000</f>
        <v>0.60099999999999998</v>
      </c>
      <c r="D64">
        <f t="shared" si="2"/>
        <v>1</v>
      </c>
      <c r="E64" t="str">
        <f>VLOOKUP(A64,Sheet1!B:C,2,FALSE)</f>
        <v>0.77</v>
      </c>
      <c r="F64">
        <f t="shared" si="3"/>
        <v>1</v>
      </c>
      <c r="G64" t="str">
        <f>VLOOKUP(Sheet4!B64,Sheet4!B:C,2,FALSE)</f>
        <v>b</v>
      </c>
      <c r="H64">
        <f>VLOOKUP(A64,Sheet1!B:D,3,FALSE)</f>
        <v>121003</v>
      </c>
      <c r="I64" t="str">
        <f>VLOOKUP(A64,Sheet1!B:H,7,FALSE)</f>
        <v>90.2</v>
      </c>
      <c r="J64">
        <f t="shared" si="8"/>
        <v>2</v>
      </c>
      <c r="K64">
        <f t="shared" si="4"/>
        <v>1</v>
      </c>
      <c r="L64">
        <f>INDEX(Sheet5!$A$2:$T$2,MATCH("fwd_"&amp;LOWER(G64)&amp;"_fixed",Sheet5!$A$1:$T$1,0))</f>
        <v>33</v>
      </c>
      <c r="M64">
        <f>INDEX(Sheet5!$A$2:$Z$2,MATCH("fwd_"&amp;LOWER(G64)&amp;"_additional", Sheet5!$A$1:$Z$1, 0)
)</f>
        <v>28.3</v>
      </c>
      <c r="N64">
        <f t="shared" si="5"/>
        <v>61.3</v>
      </c>
      <c r="O64">
        <f>INDEX(
Sheet5!$A$2:$Z$2,
MATCH("rto_"&amp;LOWER(G64)&amp;"_fixed", Sheet5!$A$1:$Z$1, 0)
)</f>
        <v>20.5</v>
      </c>
      <c r="P64">
        <f>INDEX(
Sheet5!$A$2:$Z$2,
MATCH("rto_"&amp;LOWER(G64)&amp;"_additional", Sheet5!$A$1:$Z$1, 0)
)</f>
        <v>28.3</v>
      </c>
      <c r="Q64">
        <f t="shared" si="9"/>
        <v>48.8</v>
      </c>
      <c r="R64">
        <f t="shared" si="6"/>
        <v>110.1</v>
      </c>
      <c r="S64">
        <f t="shared" si="7"/>
        <v>19.899999999999991</v>
      </c>
    </row>
    <row r="65" spans="1:19" x14ac:dyDescent="0.45">
      <c r="A65" t="s">
        <v>253</v>
      </c>
      <c r="B65" t="str">
        <f>_xlfn.XLOOKUP(A65,Sheet1!B:B,Sheet1!A:A)</f>
        <v>1091117437680</v>
      </c>
      <c r="C65" cm="1">
        <f t="array" ref="C65">SUMPRODUCT((Sheet2!$A$2:$A$1000=Sheet6!A65)*Sheet2!$C$2:$C$1000*IFERROR(VLOOKUP(Sheet2!$B$2:$B$1000,Sheet3!$A:$B,2,FALSE),0))/1000</f>
        <v>0.73099999999999998</v>
      </c>
      <c r="D65">
        <f t="shared" si="2"/>
        <v>1</v>
      </c>
      <c r="E65" t="str">
        <f>VLOOKUP(A65,Sheet1!B:C,2,FALSE)</f>
        <v>0.8</v>
      </c>
      <c r="F65">
        <f t="shared" si="3"/>
        <v>1</v>
      </c>
      <c r="G65" t="str">
        <f>VLOOKUP(Sheet4!B65,Sheet4!B:C,2,FALSE)</f>
        <v>b</v>
      </c>
      <c r="H65">
        <f>VLOOKUP(A65,Sheet1!B:D,3,FALSE)</f>
        <v>121003</v>
      </c>
      <c r="I65" t="str">
        <f>VLOOKUP(A65,Sheet1!B:H,7,FALSE)</f>
        <v>90.2</v>
      </c>
      <c r="J65">
        <f t="shared" si="8"/>
        <v>2</v>
      </c>
      <c r="K65">
        <f t="shared" si="4"/>
        <v>1</v>
      </c>
      <c r="L65">
        <f>INDEX(Sheet5!$A$2:$T$2,MATCH("fwd_"&amp;LOWER(G65)&amp;"_fixed",Sheet5!$A$1:$T$1,0))</f>
        <v>33</v>
      </c>
      <c r="M65">
        <f>INDEX(Sheet5!$A$2:$Z$2,MATCH("fwd_"&amp;LOWER(G65)&amp;"_additional", Sheet5!$A$1:$Z$1, 0)
)</f>
        <v>28.3</v>
      </c>
      <c r="N65">
        <f t="shared" si="5"/>
        <v>61.3</v>
      </c>
      <c r="O65">
        <f>INDEX(
Sheet5!$A$2:$Z$2,
MATCH("rto_"&amp;LOWER(G65)&amp;"_fixed", Sheet5!$A$1:$Z$1, 0)
)</f>
        <v>20.5</v>
      </c>
      <c r="P65">
        <f>INDEX(
Sheet5!$A$2:$Z$2,
MATCH("rto_"&amp;LOWER(G65)&amp;"_additional", Sheet5!$A$1:$Z$1, 0)
)</f>
        <v>28.3</v>
      </c>
      <c r="Q65">
        <f t="shared" si="9"/>
        <v>48.8</v>
      </c>
      <c r="R65">
        <f t="shared" si="6"/>
        <v>110.1</v>
      </c>
      <c r="S65">
        <f t="shared" si="7"/>
        <v>19.899999999999991</v>
      </c>
    </row>
    <row r="66" spans="1:19" x14ac:dyDescent="0.45">
      <c r="A66" t="s">
        <v>256</v>
      </c>
      <c r="B66" t="str">
        <f>_xlfn.XLOOKUP(A66,Sheet1!B:B,Sheet1!A:A)</f>
        <v>1091117804200</v>
      </c>
      <c r="C66" cm="1">
        <f t="array" ref="C66">SUMPRODUCT((Sheet2!$A$2:$A$1000=Sheet6!A66)*Sheet2!$C$2:$C$1000*IFERROR(VLOOKUP(Sheet2!$B$2:$B$1000,Sheet3!$A:$B,2,FALSE),0))/1000</f>
        <v>0.60099999999999998</v>
      </c>
      <c r="D66">
        <f t="shared" si="2"/>
        <v>1</v>
      </c>
      <c r="E66" t="str">
        <f>VLOOKUP(A66,Sheet1!B:C,2,FALSE)</f>
        <v>0.76</v>
      </c>
      <c r="F66">
        <f t="shared" si="3"/>
        <v>1</v>
      </c>
      <c r="G66" t="str">
        <f>VLOOKUP(Sheet4!B66,Sheet4!B:C,2,FALSE)</f>
        <v>b</v>
      </c>
      <c r="H66">
        <f>VLOOKUP(A66,Sheet1!B:D,3,FALSE)</f>
        <v>121003</v>
      </c>
      <c r="I66" t="str">
        <f>VLOOKUP(A66,Sheet1!B:H,7,FALSE)</f>
        <v>90.2</v>
      </c>
      <c r="J66">
        <f t="shared" ref="J66:J97" si="10">D66/0.5</f>
        <v>2</v>
      </c>
      <c r="K66">
        <f t="shared" si="4"/>
        <v>1</v>
      </c>
      <c r="L66">
        <f>INDEX(Sheet5!$A$2:$T$2,MATCH("fwd_"&amp;LOWER(G66)&amp;"_fixed",Sheet5!$A$1:$T$1,0))</f>
        <v>33</v>
      </c>
      <c r="M66">
        <f>INDEX(Sheet5!$A$2:$Z$2,MATCH("fwd_"&amp;LOWER(G66)&amp;"_additional", Sheet5!$A$1:$Z$1, 0)
)</f>
        <v>28.3</v>
      </c>
      <c r="N66">
        <f t="shared" si="5"/>
        <v>61.3</v>
      </c>
      <c r="O66">
        <f>INDEX(
Sheet5!$A$2:$Z$2,
MATCH("rto_"&amp;LOWER(G66)&amp;"_fixed", Sheet5!$A$1:$Z$1, 0)
)</f>
        <v>20.5</v>
      </c>
      <c r="P66">
        <f>INDEX(
Sheet5!$A$2:$Z$2,
MATCH("rto_"&amp;LOWER(G66)&amp;"_additional", Sheet5!$A$1:$Z$1, 0)
)</f>
        <v>28.3</v>
      </c>
      <c r="Q66">
        <f t="shared" ref="Q66:Q97" si="11">O66+(K66*P66)</f>
        <v>48.8</v>
      </c>
      <c r="R66">
        <f t="shared" si="6"/>
        <v>110.1</v>
      </c>
      <c r="S66">
        <f t="shared" si="7"/>
        <v>19.899999999999991</v>
      </c>
    </row>
    <row r="67" spans="1:19" x14ac:dyDescent="0.45">
      <c r="A67" t="s">
        <v>260</v>
      </c>
      <c r="B67" t="str">
        <f>_xlfn.XLOOKUP(A67,Sheet1!B:B,Sheet1!A:A)</f>
        <v>1091117957533</v>
      </c>
      <c r="C67" cm="1">
        <f t="array" ref="C67">SUMPRODUCT((Sheet2!$A$2:$A$1000=Sheet6!A67)*Sheet2!$C$2:$C$1000*IFERROR(VLOOKUP(Sheet2!$B$2:$B$1000,Sheet3!$A:$B,2,FALSE),0))/1000</f>
        <v>0.60699999999999998</v>
      </c>
      <c r="D67">
        <f t="shared" ref="D67:D125" si="12">CEILING(C67/0.5,1)*0.5</f>
        <v>1</v>
      </c>
      <c r="E67" t="str">
        <f>VLOOKUP(A67,Sheet1!B:C,2,FALSE)</f>
        <v>0.76</v>
      </c>
      <c r="F67">
        <f t="shared" ref="F67:F125" si="13">CEILING(E67/0.5,1)*0.5</f>
        <v>1</v>
      </c>
      <c r="G67" t="str">
        <f>VLOOKUP(Sheet4!B67,Sheet4!B:C,2,FALSE)</f>
        <v>b</v>
      </c>
      <c r="H67">
        <f>VLOOKUP(A67,Sheet1!B:D,3,FALSE)</f>
        <v>121003</v>
      </c>
      <c r="I67" t="str">
        <f>VLOOKUP(A67,Sheet1!B:H,7,FALSE)</f>
        <v>90.2</v>
      </c>
      <c r="J67">
        <f t="shared" si="10"/>
        <v>2</v>
      </c>
      <c r="K67">
        <f t="shared" ref="K67:K125" si="14">MAX(J67-1,0)</f>
        <v>1</v>
      </c>
      <c r="L67">
        <f>INDEX(Sheet5!$A$2:$T$2,MATCH("fwd_"&amp;LOWER(G67)&amp;"_fixed",Sheet5!$A$1:$T$1,0))</f>
        <v>33</v>
      </c>
      <c r="M67">
        <f>INDEX(Sheet5!$A$2:$Z$2,MATCH("fwd_"&amp;LOWER(G67)&amp;"_additional", Sheet5!$A$1:$Z$1, 0)
)</f>
        <v>28.3</v>
      </c>
      <c r="N67">
        <f t="shared" ref="N67:N125" si="15">L67+(K67*M67)</f>
        <v>61.3</v>
      </c>
      <c r="O67">
        <f>INDEX(
Sheet5!$A$2:$Z$2,
MATCH("rto_"&amp;LOWER(G67)&amp;"_fixed", Sheet5!$A$1:$Z$1, 0)
)</f>
        <v>20.5</v>
      </c>
      <c r="P67">
        <f>INDEX(
Sheet5!$A$2:$Z$2,
MATCH("rto_"&amp;LOWER(G67)&amp;"_additional", Sheet5!$A$1:$Z$1, 0)
)</f>
        <v>28.3</v>
      </c>
      <c r="Q67">
        <f t="shared" si="11"/>
        <v>48.8</v>
      </c>
      <c r="R67">
        <f t="shared" ref="R67:R125" si="16">N67+Q67</f>
        <v>110.1</v>
      </c>
      <c r="S67">
        <f t="shared" ref="S67:S125" si="17">R67-I67</f>
        <v>19.899999999999991</v>
      </c>
    </row>
    <row r="68" spans="1:19" x14ac:dyDescent="0.45">
      <c r="A68" t="s">
        <v>263</v>
      </c>
      <c r="B68" t="str">
        <f>_xlfn.XLOOKUP(A68,Sheet1!B:B,Sheet1!A:A)</f>
        <v>1091117957942</v>
      </c>
      <c r="C68" cm="1">
        <f t="array" ref="C68">SUMPRODUCT((Sheet2!$A$2:$A$1000=Sheet6!A68)*Sheet2!$C$2:$C$1000*IFERROR(VLOOKUP(Sheet2!$B$2:$B$1000,Sheet3!$A:$B,2,FALSE),0))/1000</f>
        <v>0.505</v>
      </c>
      <c r="D68">
        <f t="shared" si="12"/>
        <v>1</v>
      </c>
      <c r="E68" t="str">
        <f>VLOOKUP(A68,Sheet1!B:C,2,FALSE)</f>
        <v>0.6</v>
      </c>
      <c r="F68">
        <f t="shared" si="13"/>
        <v>1</v>
      </c>
      <c r="G68" t="str">
        <f>VLOOKUP(Sheet4!B68,Sheet4!B:C,2,FALSE)</f>
        <v>b</v>
      </c>
      <c r="H68">
        <f>VLOOKUP(A68,Sheet1!B:D,3,FALSE)</f>
        <v>121003</v>
      </c>
      <c r="I68" t="str">
        <f>VLOOKUP(A68,Sheet1!B:H,7,FALSE)</f>
        <v>90.2</v>
      </c>
      <c r="J68">
        <f t="shared" si="10"/>
        <v>2</v>
      </c>
      <c r="K68">
        <f t="shared" si="14"/>
        <v>1</v>
      </c>
      <c r="L68">
        <f>INDEX(Sheet5!$A$2:$T$2,MATCH("fwd_"&amp;LOWER(G68)&amp;"_fixed",Sheet5!$A$1:$T$1,0))</f>
        <v>33</v>
      </c>
      <c r="M68">
        <f>INDEX(Sheet5!$A$2:$Z$2,MATCH("fwd_"&amp;LOWER(G68)&amp;"_additional", Sheet5!$A$1:$Z$1, 0)
)</f>
        <v>28.3</v>
      </c>
      <c r="N68">
        <f t="shared" si="15"/>
        <v>61.3</v>
      </c>
      <c r="O68">
        <f>INDEX(
Sheet5!$A$2:$Z$2,
MATCH("rto_"&amp;LOWER(G68)&amp;"_fixed", Sheet5!$A$1:$Z$1, 0)
)</f>
        <v>20.5</v>
      </c>
      <c r="P68">
        <f>INDEX(
Sheet5!$A$2:$Z$2,
MATCH("rto_"&amp;LOWER(G68)&amp;"_additional", Sheet5!$A$1:$Z$1, 0)
)</f>
        <v>28.3</v>
      </c>
      <c r="Q68">
        <f t="shared" si="11"/>
        <v>48.8</v>
      </c>
      <c r="R68">
        <f t="shared" si="16"/>
        <v>110.1</v>
      </c>
      <c r="S68">
        <f t="shared" si="17"/>
        <v>19.899999999999991</v>
      </c>
    </row>
    <row r="69" spans="1:19" x14ac:dyDescent="0.45">
      <c r="A69" t="s">
        <v>266</v>
      </c>
      <c r="B69" t="str">
        <f>_xlfn.XLOOKUP(A69,Sheet1!B:B,Sheet1!A:A)</f>
        <v>1091117958395</v>
      </c>
      <c r="C69" cm="1">
        <f t="array" ref="C69">SUMPRODUCT((Sheet2!$A$2:$A$1000=Sheet6!A69)*Sheet2!$C$2:$C$1000*IFERROR(VLOOKUP(Sheet2!$B$2:$B$1000,Sheet3!$A:$B,2,FALSE),0))/1000</f>
        <v>0.50800000000000001</v>
      </c>
      <c r="D69">
        <f t="shared" si="12"/>
        <v>1</v>
      </c>
      <c r="E69" t="str">
        <f>VLOOKUP(A69,Sheet1!B:C,2,FALSE)</f>
        <v>0.59</v>
      </c>
      <c r="F69">
        <f t="shared" si="13"/>
        <v>1</v>
      </c>
      <c r="G69" t="str">
        <f>VLOOKUP(Sheet4!B69,Sheet4!B:C,2,FALSE)</f>
        <v>b</v>
      </c>
      <c r="H69">
        <f>VLOOKUP(A69,Sheet1!B:D,3,FALSE)</f>
        <v>121003</v>
      </c>
      <c r="I69" t="str">
        <f>VLOOKUP(A69,Sheet1!B:H,7,FALSE)</f>
        <v>90.2</v>
      </c>
      <c r="J69">
        <f t="shared" si="10"/>
        <v>2</v>
      </c>
      <c r="K69">
        <f t="shared" si="14"/>
        <v>1</v>
      </c>
      <c r="L69">
        <f>INDEX(Sheet5!$A$2:$T$2,MATCH("fwd_"&amp;LOWER(G69)&amp;"_fixed",Sheet5!$A$1:$T$1,0))</f>
        <v>33</v>
      </c>
      <c r="M69">
        <f>INDEX(Sheet5!$A$2:$Z$2,MATCH("fwd_"&amp;LOWER(G69)&amp;"_additional", Sheet5!$A$1:$Z$1, 0)
)</f>
        <v>28.3</v>
      </c>
      <c r="N69">
        <f t="shared" si="15"/>
        <v>61.3</v>
      </c>
      <c r="O69">
        <f>INDEX(
Sheet5!$A$2:$Z$2,
MATCH("rto_"&amp;LOWER(G69)&amp;"_fixed", Sheet5!$A$1:$Z$1, 0)
)</f>
        <v>20.5</v>
      </c>
      <c r="P69">
        <f>INDEX(
Sheet5!$A$2:$Z$2,
MATCH("rto_"&amp;LOWER(G69)&amp;"_additional", Sheet5!$A$1:$Z$1, 0)
)</f>
        <v>28.3</v>
      </c>
      <c r="Q69">
        <f t="shared" si="11"/>
        <v>48.8</v>
      </c>
      <c r="R69">
        <f t="shared" si="16"/>
        <v>110.1</v>
      </c>
      <c r="S69">
        <f t="shared" si="17"/>
        <v>19.899999999999991</v>
      </c>
    </row>
    <row r="70" spans="1:19" x14ac:dyDescent="0.45">
      <c r="A70" t="s">
        <v>270</v>
      </c>
      <c r="B70" t="str">
        <f>_xlfn.XLOOKUP(A70,Sheet1!B:B,Sheet1!A:A)</f>
        <v>1091118001865</v>
      </c>
      <c r="C70" cm="1">
        <f t="array" ref="C70">SUMPRODUCT((Sheet2!$A$2:$A$1000=Sheet6!A70)*Sheet2!$C$2:$C$1000*IFERROR(VLOOKUP(Sheet2!$B$2:$B$1000,Sheet3!$A:$B,2,FALSE),0))/1000</f>
        <v>0.60699999999999998</v>
      </c>
      <c r="D70">
        <f t="shared" si="12"/>
        <v>1</v>
      </c>
      <c r="E70" t="str">
        <f>VLOOKUP(A70,Sheet1!B:C,2,FALSE)</f>
        <v>0.8</v>
      </c>
      <c r="F70">
        <f t="shared" si="13"/>
        <v>1</v>
      </c>
      <c r="G70" t="str">
        <f>VLOOKUP(Sheet4!B70,Sheet4!B:C,2,FALSE)</f>
        <v>b</v>
      </c>
      <c r="H70">
        <f>VLOOKUP(A70,Sheet1!B:D,3,FALSE)</f>
        <v>121003</v>
      </c>
      <c r="I70" t="str">
        <f>VLOOKUP(A70,Sheet1!B:H,7,FALSE)</f>
        <v>90.2</v>
      </c>
      <c r="J70">
        <f t="shared" si="10"/>
        <v>2</v>
      </c>
      <c r="K70">
        <f t="shared" si="14"/>
        <v>1</v>
      </c>
      <c r="L70">
        <f>INDEX(Sheet5!$A$2:$T$2,MATCH("fwd_"&amp;LOWER(G70)&amp;"_fixed",Sheet5!$A$1:$T$1,0))</f>
        <v>33</v>
      </c>
      <c r="M70">
        <f>INDEX(Sheet5!$A$2:$Z$2,MATCH("fwd_"&amp;LOWER(G70)&amp;"_additional", Sheet5!$A$1:$Z$1, 0)
)</f>
        <v>28.3</v>
      </c>
      <c r="N70">
        <f t="shared" si="15"/>
        <v>61.3</v>
      </c>
      <c r="O70">
        <f>INDEX(
Sheet5!$A$2:$Z$2,
MATCH("rto_"&amp;LOWER(G70)&amp;"_fixed", Sheet5!$A$1:$Z$1, 0)
)</f>
        <v>20.5</v>
      </c>
      <c r="P70">
        <f>INDEX(
Sheet5!$A$2:$Z$2,
MATCH("rto_"&amp;LOWER(G70)&amp;"_additional", Sheet5!$A$1:$Z$1, 0)
)</f>
        <v>28.3</v>
      </c>
      <c r="Q70">
        <f t="shared" si="11"/>
        <v>48.8</v>
      </c>
      <c r="R70">
        <f t="shared" si="16"/>
        <v>110.1</v>
      </c>
      <c r="S70">
        <f t="shared" si="17"/>
        <v>19.899999999999991</v>
      </c>
    </row>
    <row r="71" spans="1:19" x14ac:dyDescent="0.45">
      <c r="A71" t="s">
        <v>273</v>
      </c>
      <c r="B71" t="str">
        <f>_xlfn.XLOOKUP(A71,Sheet1!B:B,Sheet1!A:A)</f>
        <v>1091118009786</v>
      </c>
      <c r="C71" cm="1">
        <f t="array" ref="C71">SUMPRODUCT((Sheet2!$A$2:$A$1000=Sheet6!A71)*Sheet2!$C$2:$C$1000*IFERROR(VLOOKUP(Sheet2!$B$2:$B$1000,Sheet3!$A:$B,2,FALSE),0))/1000</f>
        <v>0.5</v>
      </c>
      <c r="D71">
        <f t="shared" si="12"/>
        <v>0.5</v>
      </c>
      <c r="E71" t="str">
        <f>VLOOKUP(A71,Sheet1!B:C,2,FALSE)</f>
        <v>0.5</v>
      </c>
      <c r="F71">
        <f t="shared" si="13"/>
        <v>0.5</v>
      </c>
      <c r="G71" t="str">
        <f>VLOOKUP(Sheet4!B71,Sheet4!B:C,2,FALSE)</f>
        <v>b</v>
      </c>
      <c r="H71">
        <f>VLOOKUP(A71,Sheet1!B:D,3,FALSE)</f>
        <v>121003</v>
      </c>
      <c r="I71" t="str">
        <f>VLOOKUP(A71,Sheet1!B:H,7,FALSE)</f>
        <v>86.7</v>
      </c>
      <c r="J71">
        <f t="shared" si="10"/>
        <v>1</v>
      </c>
      <c r="K71">
        <f t="shared" si="14"/>
        <v>0</v>
      </c>
      <c r="L71">
        <f>INDEX(Sheet5!$A$2:$T$2,MATCH("fwd_"&amp;LOWER(G71)&amp;"_fixed",Sheet5!$A$1:$T$1,0))</f>
        <v>33</v>
      </c>
      <c r="M71">
        <f>INDEX(Sheet5!$A$2:$Z$2,MATCH("fwd_"&amp;LOWER(G71)&amp;"_additional", Sheet5!$A$1:$Z$1, 0)
)</f>
        <v>28.3</v>
      </c>
      <c r="N71">
        <f t="shared" si="15"/>
        <v>33</v>
      </c>
      <c r="O71">
        <f>INDEX(
Sheet5!$A$2:$Z$2,
MATCH("rto_"&amp;LOWER(G71)&amp;"_fixed", Sheet5!$A$1:$Z$1, 0)
)</f>
        <v>20.5</v>
      </c>
      <c r="P71">
        <f>INDEX(
Sheet5!$A$2:$Z$2,
MATCH("rto_"&amp;LOWER(G71)&amp;"_additional", Sheet5!$A$1:$Z$1, 0)
)</f>
        <v>28.3</v>
      </c>
      <c r="Q71">
        <f t="shared" si="11"/>
        <v>20.5</v>
      </c>
      <c r="R71">
        <f t="shared" si="16"/>
        <v>53.5</v>
      </c>
      <c r="S71">
        <f t="shared" si="17"/>
        <v>-33.200000000000003</v>
      </c>
    </row>
    <row r="72" spans="1:19" x14ac:dyDescent="0.45">
      <c r="A72" t="s">
        <v>277</v>
      </c>
      <c r="B72" t="str">
        <f>_xlfn.XLOOKUP(A72,Sheet1!B:B,Sheet1!A:A)</f>
        <v>1091118548333</v>
      </c>
      <c r="C72" cm="1">
        <f t="array" ref="C72">SUMPRODUCT((Sheet2!$A$2:$A$1000=Sheet6!A72)*Sheet2!$C$2:$C$1000*IFERROR(VLOOKUP(Sheet2!$B$2:$B$1000,Sheet3!$A:$B,2,FALSE),0))/1000</f>
        <v>2.5720000000000001</v>
      </c>
      <c r="D72">
        <f t="shared" si="12"/>
        <v>3</v>
      </c>
      <c r="E72" t="str">
        <f>VLOOKUP(A72,Sheet1!B:C,2,FALSE)</f>
        <v>2.94</v>
      </c>
      <c r="F72">
        <f t="shared" si="13"/>
        <v>3</v>
      </c>
      <c r="G72" t="str">
        <f>VLOOKUP(Sheet4!B72,Sheet4!B:C,2,FALSE)</f>
        <v>b</v>
      </c>
      <c r="H72">
        <f>VLOOKUP(A72,Sheet1!B:D,3,FALSE)</f>
        <v>121003</v>
      </c>
      <c r="I72" t="str">
        <f>VLOOKUP(A72,Sheet1!B:H,7,FALSE)</f>
        <v>269.4</v>
      </c>
      <c r="J72">
        <f t="shared" si="10"/>
        <v>6</v>
      </c>
      <c r="K72">
        <f t="shared" si="14"/>
        <v>5</v>
      </c>
      <c r="L72">
        <f>INDEX(Sheet5!$A$2:$T$2,MATCH("fwd_"&amp;LOWER(G72)&amp;"_fixed",Sheet5!$A$1:$T$1,0))</f>
        <v>33</v>
      </c>
      <c r="M72">
        <f>INDEX(Sheet5!$A$2:$Z$2,MATCH("fwd_"&amp;LOWER(G72)&amp;"_additional", Sheet5!$A$1:$Z$1, 0)
)</f>
        <v>28.3</v>
      </c>
      <c r="N72">
        <f t="shared" si="15"/>
        <v>174.5</v>
      </c>
      <c r="O72">
        <f>INDEX(
Sheet5!$A$2:$Z$2,
MATCH("rto_"&amp;LOWER(G72)&amp;"_fixed", Sheet5!$A$1:$Z$1, 0)
)</f>
        <v>20.5</v>
      </c>
      <c r="P72">
        <f>INDEX(
Sheet5!$A$2:$Z$2,
MATCH("rto_"&amp;LOWER(G72)&amp;"_additional", Sheet5!$A$1:$Z$1, 0)
)</f>
        <v>28.3</v>
      </c>
      <c r="Q72">
        <f t="shared" si="11"/>
        <v>162</v>
      </c>
      <c r="R72">
        <f t="shared" si="16"/>
        <v>336.5</v>
      </c>
      <c r="S72">
        <f t="shared" si="17"/>
        <v>67.100000000000023</v>
      </c>
    </row>
    <row r="73" spans="1:19" x14ac:dyDescent="0.45">
      <c r="A73" t="s">
        <v>281</v>
      </c>
      <c r="B73" t="str">
        <f>_xlfn.XLOOKUP(A73,Sheet1!B:B,Sheet1!A:A)</f>
        <v>1091118553701</v>
      </c>
      <c r="C73" cm="1">
        <f t="array" ref="C73">SUMPRODUCT((Sheet2!$A$2:$A$1000=Sheet6!A73)*Sheet2!$C$2:$C$1000*IFERROR(VLOOKUP(Sheet2!$B$2:$B$1000,Sheet3!$A:$B,2,FALSE),0))/1000</f>
        <v>0.72</v>
      </c>
      <c r="D73">
        <f t="shared" si="12"/>
        <v>1</v>
      </c>
      <c r="E73" t="str">
        <f>VLOOKUP(A73,Sheet1!B:C,2,FALSE)</f>
        <v>1</v>
      </c>
      <c r="F73">
        <f t="shared" si="13"/>
        <v>1</v>
      </c>
      <c r="G73" t="str">
        <f>VLOOKUP(Sheet4!B73,Sheet4!B:C,2,FALSE)</f>
        <v>b</v>
      </c>
      <c r="H73">
        <f>VLOOKUP(A73,Sheet1!B:D,3,FALSE)</f>
        <v>121003</v>
      </c>
      <c r="I73" t="str">
        <f>VLOOKUP(A73,Sheet1!B:H,7,FALSE)</f>
        <v>90.2</v>
      </c>
      <c r="J73">
        <f t="shared" si="10"/>
        <v>2</v>
      </c>
      <c r="K73">
        <f t="shared" si="14"/>
        <v>1</v>
      </c>
      <c r="L73">
        <f>INDEX(Sheet5!$A$2:$T$2,MATCH("fwd_"&amp;LOWER(G73)&amp;"_fixed",Sheet5!$A$1:$T$1,0))</f>
        <v>33</v>
      </c>
      <c r="M73">
        <f>INDEX(Sheet5!$A$2:$Z$2,MATCH("fwd_"&amp;LOWER(G73)&amp;"_additional", Sheet5!$A$1:$Z$1, 0)
)</f>
        <v>28.3</v>
      </c>
      <c r="N73">
        <f t="shared" si="15"/>
        <v>61.3</v>
      </c>
      <c r="O73">
        <f>INDEX(
Sheet5!$A$2:$Z$2,
MATCH("rto_"&amp;LOWER(G73)&amp;"_fixed", Sheet5!$A$1:$Z$1, 0)
)</f>
        <v>20.5</v>
      </c>
      <c r="P73">
        <f>INDEX(
Sheet5!$A$2:$Z$2,
MATCH("rto_"&amp;LOWER(G73)&amp;"_additional", Sheet5!$A$1:$Z$1, 0)
)</f>
        <v>28.3</v>
      </c>
      <c r="Q73">
        <f t="shared" si="11"/>
        <v>48.8</v>
      </c>
      <c r="R73">
        <f t="shared" si="16"/>
        <v>110.1</v>
      </c>
      <c r="S73">
        <f t="shared" si="17"/>
        <v>19.899999999999991</v>
      </c>
    </row>
    <row r="74" spans="1:19" x14ac:dyDescent="0.45">
      <c r="A74" t="s">
        <v>284</v>
      </c>
      <c r="B74" t="str">
        <f>_xlfn.XLOOKUP(A74,Sheet1!B:B,Sheet1!A:A)</f>
        <v>1091118591534</v>
      </c>
      <c r="C74" cm="1">
        <f t="array" ref="C74">SUMPRODUCT((Sheet2!$A$2:$A$1000=Sheet6!A74)*Sheet2!$C$2:$C$1000*IFERROR(VLOOKUP(Sheet2!$B$2:$B$1000,Sheet3!$A:$B,2,FALSE),0))/1000</f>
        <v>0.56299999999999994</v>
      </c>
      <c r="D74">
        <f t="shared" si="12"/>
        <v>1</v>
      </c>
      <c r="E74" t="str">
        <f>VLOOKUP(A74,Sheet1!B:C,2,FALSE)</f>
        <v>0.61</v>
      </c>
      <c r="F74">
        <f t="shared" si="13"/>
        <v>1</v>
      </c>
      <c r="G74" t="str">
        <f>VLOOKUP(Sheet4!B74,Sheet4!B:C,2,FALSE)</f>
        <v>b</v>
      </c>
      <c r="H74">
        <f>VLOOKUP(A74,Sheet1!B:D,3,FALSE)</f>
        <v>121003</v>
      </c>
      <c r="I74" t="str">
        <f>VLOOKUP(A74,Sheet1!B:H,7,FALSE)</f>
        <v>90.2</v>
      </c>
      <c r="J74">
        <f t="shared" si="10"/>
        <v>2</v>
      </c>
      <c r="K74">
        <f t="shared" si="14"/>
        <v>1</v>
      </c>
      <c r="L74">
        <f>INDEX(Sheet5!$A$2:$T$2,MATCH("fwd_"&amp;LOWER(G74)&amp;"_fixed",Sheet5!$A$1:$T$1,0))</f>
        <v>33</v>
      </c>
      <c r="M74">
        <f>INDEX(Sheet5!$A$2:$Z$2,MATCH("fwd_"&amp;LOWER(G74)&amp;"_additional", Sheet5!$A$1:$Z$1, 0)
)</f>
        <v>28.3</v>
      </c>
      <c r="N74">
        <f t="shared" si="15"/>
        <v>61.3</v>
      </c>
      <c r="O74">
        <f>INDEX(
Sheet5!$A$2:$Z$2,
MATCH("rto_"&amp;LOWER(G74)&amp;"_fixed", Sheet5!$A$1:$Z$1, 0)
)</f>
        <v>20.5</v>
      </c>
      <c r="P74">
        <f>INDEX(
Sheet5!$A$2:$Z$2,
MATCH("rto_"&amp;LOWER(G74)&amp;"_additional", Sheet5!$A$1:$Z$1, 0)
)</f>
        <v>28.3</v>
      </c>
      <c r="Q74">
        <f t="shared" si="11"/>
        <v>48.8</v>
      </c>
      <c r="R74">
        <f t="shared" si="16"/>
        <v>110.1</v>
      </c>
      <c r="S74">
        <f t="shared" si="17"/>
        <v>19.899999999999991</v>
      </c>
    </row>
    <row r="75" spans="1:19" x14ac:dyDescent="0.45">
      <c r="A75" t="s">
        <v>287</v>
      </c>
      <c r="B75" t="str">
        <f>_xlfn.XLOOKUP(A75,Sheet1!B:B,Sheet1!A:A)</f>
        <v>1091118925110</v>
      </c>
      <c r="C75" cm="1">
        <f t="array" ref="C75">SUMPRODUCT((Sheet2!$A$2:$A$1000=Sheet6!A75)*Sheet2!$C$2:$C$1000*IFERROR(VLOOKUP(Sheet2!$B$2:$B$1000,Sheet3!$A:$B,2,FALSE),0))/1000</f>
        <v>0.127</v>
      </c>
      <c r="D75">
        <f t="shared" si="12"/>
        <v>0.5</v>
      </c>
      <c r="E75" t="str">
        <f>VLOOKUP(A75,Sheet1!B:C,2,FALSE)</f>
        <v>0.15</v>
      </c>
      <c r="F75">
        <f t="shared" si="13"/>
        <v>0.5</v>
      </c>
      <c r="G75" t="str">
        <f>VLOOKUP(Sheet4!B75,Sheet4!B:C,2,FALSE)</f>
        <v>b</v>
      </c>
      <c r="H75">
        <f>VLOOKUP(A75,Sheet1!B:D,3,FALSE)</f>
        <v>121003</v>
      </c>
      <c r="I75" t="str">
        <f>VLOOKUP(A75,Sheet1!B:H,7,FALSE)</f>
        <v>86.7</v>
      </c>
      <c r="J75">
        <f t="shared" si="10"/>
        <v>1</v>
      </c>
      <c r="K75">
        <f t="shared" si="14"/>
        <v>0</v>
      </c>
      <c r="L75">
        <f>INDEX(Sheet5!$A$2:$T$2,MATCH("fwd_"&amp;LOWER(G75)&amp;"_fixed",Sheet5!$A$1:$T$1,0))</f>
        <v>33</v>
      </c>
      <c r="M75">
        <f>INDEX(Sheet5!$A$2:$Z$2,MATCH("fwd_"&amp;LOWER(G75)&amp;"_additional", Sheet5!$A$1:$Z$1, 0)
)</f>
        <v>28.3</v>
      </c>
      <c r="N75">
        <f t="shared" si="15"/>
        <v>33</v>
      </c>
      <c r="O75">
        <f>INDEX(
Sheet5!$A$2:$Z$2,
MATCH("rto_"&amp;LOWER(G75)&amp;"_fixed", Sheet5!$A$1:$Z$1, 0)
)</f>
        <v>20.5</v>
      </c>
      <c r="P75">
        <f>INDEX(
Sheet5!$A$2:$Z$2,
MATCH("rto_"&amp;LOWER(G75)&amp;"_additional", Sheet5!$A$1:$Z$1, 0)
)</f>
        <v>28.3</v>
      </c>
      <c r="Q75">
        <f t="shared" si="11"/>
        <v>20.5</v>
      </c>
      <c r="R75">
        <f t="shared" si="16"/>
        <v>53.5</v>
      </c>
      <c r="S75">
        <f t="shared" si="17"/>
        <v>-33.200000000000003</v>
      </c>
    </row>
    <row r="76" spans="1:19" x14ac:dyDescent="0.45">
      <c r="A76" t="s">
        <v>290</v>
      </c>
      <c r="B76" t="str">
        <f>_xlfn.XLOOKUP(A76,Sheet1!B:B,Sheet1!A:A)</f>
        <v>1091119169701</v>
      </c>
      <c r="C76" cm="1">
        <f t="array" ref="C76">SUMPRODUCT((Sheet2!$A$2:$A$1000=Sheet6!A76)*Sheet2!$C$2:$C$1000*IFERROR(VLOOKUP(Sheet2!$B$2:$B$1000,Sheet3!$A:$B,2,FALSE),0))/1000</f>
        <v>0.22</v>
      </c>
      <c r="D76">
        <f t="shared" si="12"/>
        <v>0.5</v>
      </c>
      <c r="E76" t="str">
        <f>VLOOKUP(A76,Sheet1!B:C,2,FALSE)</f>
        <v>0.2</v>
      </c>
      <c r="F76">
        <f t="shared" si="13"/>
        <v>0.5</v>
      </c>
      <c r="G76" t="str">
        <f>VLOOKUP(Sheet4!B76,Sheet4!B:C,2,FALSE)</f>
        <v>b</v>
      </c>
      <c r="H76">
        <f>VLOOKUP(A76,Sheet1!B:D,3,FALSE)</f>
        <v>121003</v>
      </c>
      <c r="I76" t="str">
        <f>VLOOKUP(A76,Sheet1!B:H,7,FALSE)</f>
        <v>45.4</v>
      </c>
      <c r="J76">
        <f t="shared" si="10"/>
        <v>1</v>
      </c>
      <c r="K76">
        <f t="shared" si="14"/>
        <v>0</v>
      </c>
      <c r="L76">
        <f>INDEX(Sheet5!$A$2:$T$2,MATCH("fwd_"&amp;LOWER(G76)&amp;"_fixed",Sheet5!$A$1:$T$1,0))</f>
        <v>33</v>
      </c>
      <c r="M76">
        <f>INDEX(Sheet5!$A$2:$Z$2,MATCH("fwd_"&amp;LOWER(G76)&amp;"_additional", Sheet5!$A$1:$Z$1, 0)
)</f>
        <v>28.3</v>
      </c>
      <c r="N76">
        <f t="shared" si="15"/>
        <v>33</v>
      </c>
      <c r="O76">
        <f>INDEX(
Sheet5!$A$2:$Z$2,
MATCH("rto_"&amp;LOWER(G76)&amp;"_fixed", Sheet5!$A$1:$Z$1, 0)
)</f>
        <v>20.5</v>
      </c>
      <c r="P76">
        <f>INDEX(
Sheet5!$A$2:$Z$2,
MATCH("rto_"&amp;LOWER(G76)&amp;"_additional", Sheet5!$A$1:$Z$1, 0)
)</f>
        <v>28.3</v>
      </c>
      <c r="Q76">
        <f t="shared" si="11"/>
        <v>20.5</v>
      </c>
      <c r="R76">
        <f t="shared" si="16"/>
        <v>53.5</v>
      </c>
      <c r="S76">
        <f t="shared" si="17"/>
        <v>8.1000000000000014</v>
      </c>
    </row>
    <row r="77" spans="1:19" x14ac:dyDescent="0.45">
      <c r="A77" t="s">
        <v>293</v>
      </c>
      <c r="B77" t="str">
        <f>_xlfn.XLOOKUP(A77,Sheet1!B:B,Sheet1!A:A)</f>
        <v>1091119367193</v>
      </c>
      <c r="C77" cm="1">
        <f t="array" ref="C77">SUMPRODUCT((Sheet2!$A$2:$A$1000=Sheet6!A77)*Sheet2!$C$2:$C$1000*IFERROR(VLOOKUP(Sheet2!$B$2:$B$1000,Sheet3!$A:$B,2,FALSE),0))/1000</f>
        <v>0.55400000000000005</v>
      </c>
      <c r="D77">
        <f t="shared" si="12"/>
        <v>1</v>
      </c>
      <c r="E77" t="str">
        <f>VLOOKUP(A77,Sheet1!B:C,2,FALSE)</f>
        <v>0.7</v>
      </c>
      <c r="F77">
        <f t="shared" si="13"/>
        <v>1</v>
      </c>
      <c r="G77" t="str">
        <f>VLOOKUP(Sheet4!B77,Sheet4!B:C,2,FALSE)</f>
        <v>b</v>
      </c>
      <c r="H77">
        <f>VLOOKUP(A77,Sheet1!B:D,3,FALSE)</f>
        <v>121003</v>
      </c>
      <c r="I77" t="str">
        <f>VLOOKUP(A77,Sheet1!B:H,7,FALSE)</f>
        <v>90.2</v>
      </c>
      <c r="J77">
        <f t="shared" si="10"/>
        <v>2</v>
      </c>
      <c r="K77">
        <f t="shared" si="14"/>
        <v>1</v>
      </c>
      <c r="L77">
        <f>INDEX(Sheet5!$A$2:$T$2,MATCH("fwd_"&amp;LOWER(G77)&amp;"_fixed",Sheet5!$A$1:$T$1,0))</f>
        <v>33</v>
      </c>
      <c r="M77">
        <f>INDEX(Sheet5!$A$2:$Z$2,MATCH("fwd_"&amp;LOWER(G77)&amp;"_additional", Sheet5!$A$1:$Z$1, 0)
)</f>
        <v>28.3</v>
      </c>
      <c r="N77">
        <f t="shared" si="15"/>
        <v>61.3</v>
      </c>
      <c r="O77">
        <f>INDEX(
Sheet5!$A$2:$Z$2,
MATCH("rto_"&amp;LOWER(G77)&amp;"_fixed", Sheet5!$A$1:$Z$1, 0)
)</f>
        <v>20.5</v>
      </c>
      <c r="P77">
        <f>INDEX(
Sheet5!$A$2:$Z$2,
MATCH("rto_"&amp;LOWER(G77)&amp;"_additional", Sheet5!$A$1:$Z$1, 0)
)</f>
        <v>28.3</v>
      </c>
      <c r="Q77">
        <f t="shared" si="11"/>
        <v>48.8</v>
      </c>
      <c r="R77">
        <f t="shared" si="16"/>
        <v>110.1</v>
      </c>
      <c r="S77">
        <f t="shared" si="17"/>
        <v>19.899999999999991</v>
      </c>
    </row>
    <row r="78" spans="1:19" x14ac:dyDescent="0.45">
      <c r="A78" t="s">
        <v>295</v>
      </c>
      <c r="B78" t="str">
        <f>_xlfn.XLOOKUP(A78,Sheet1!B:B,Sheet1!A:A)</f>
        <v>1091119429202</v>
      </c>
      <c r="C78" cm="1">
        <f t="array" ref="C78">SUMPRODUCT((Sheet2!$A$2:$A$1000=Sheet6!A78)*Sheet2!$C$2:$C$1000*IFERROR(VLOOKUP(Sheet2!$B$2:$B$1000,Sheet3!$A:$B,2,FALSE),0))/1000</f>
        <v>0.5</v>
      </c>
      <c r="D78">
        <f t="shared" si="12"/>
        <v>0.5</v>
      </c>
      <c r="E78" t="str">
        <f>VLOOKUP(A78,Sheet1!B:C,2,FALSE)</f>
        <v>0.5</v>
      </c>
      <c r="F78">
        <f t="shared" si="13"/>
        <v>0.5</v>
      </c>
      <c r="G78" t="str">
        <f>VLOOKUP(Sheet4!B78,Sheet4!B:C,2,FALSE)</f>
        <v>b</v>
      </c>
      <c r="H78">
        <f>VLOOKUP(A78,Sheet1!B:D,3,FALSE)</f>
        <v>121003</v>
      </c>
      <c r="I78" t="str">
        <f>VLOOKUP(A78,Sheet1!B:H,7,FALSE)</f>
        <v>45.4</v>
      </c>
      <c r="J78">
        <f t="shared" si="10"/>
        <v>1</v>
      </c>
      <c r="K78">
        <f t="shared" si="14"/>
        <v>0</v>
      </c>
      <c r="L78">
        <f>INDEX(Sheet5!$A$2:$T$2,MATCH("fwd_"&amp;LOWER(G78)&amp;"_fixed",Sheet5!$A$1:$T$1,0))</f>
        <v>33</v>
      </c>
      <c r="M78">
        <f>INDEX(Sheet5!$A$2:$Z$2,MATCH("fwd_"&amp;LOWER(G78)&amp;"_additional", Sheet5!$A$1:$Z$1, 0)
)</f>
        <v>28.3</v>
      </c>
      <c r="N78">
        <f t="shared" si="15"/>
        <v>33</v>
      </c>
      <c r="O78">
        <f>INDEX(
Sheet5!$A$2:$Z$2,
MATCH("rto_"&amp;LOWER(G78)&amp;"_fixed", Sheet5!$A$1:$Z$1, 0)
)</f>
        <v>20.5</v>
      </c>
      <c r="P78">
        <f>INDEX(
Sheet5!$A$2:$Z$2,
MATCH("rto_"&amp;LOWER(G78)&amp;"_additional", Sheet5!$A$1:$Z$1, 0)
)</f>
        <v>28.3</v>
      </c>
      <c r="Q78">
        <f t="shared" si="11"/>
        <v>20.5</v>
      </c>
      <c r="R78">
        <f t="shared" si="16"/>
        <v>53.5</v>
      </c>
      <c r="S78">
        <f t="shared" si="17"/>
        <v>8.1000000000000014</v>
      </c>
    </row>
    <row r="79" spans="1:19" x14ac:dyDescent="0.45">
      <c r="A79" t="s">
        <v>298</v>
      </c>
      <c r="B79" t="str">
        <f>_xlfn.XLOOKUP(A79,Sheet1!B:B,Sheet1!A:A)</f>
        <v>1091120959225</v>
      </c>
      <c r="C79" cm="1">
        <f t="array" ref="C79">SUMPRODUCT((Sheet2!$A$2:$A$1000=Sheet6!A79)*Sheet2!$C$2:$C$1000*IFERROR(VLOOKUP(Sheet2!$B$2:$B$1000,Sheet3!$A:$B,2,FALSE),0))/1000</f>
        <v>2.0979999999999999</v>
      </c>
      <c r="D79">
        <f t="shared" si="12"/>
        <v>2.5</v>
      </c>
      <c r="E79" t="str">
        <f>VLOOKUP(A79,Sheet1!B:C,2,FALSE)</f>
        <v>2.1</v>
      </c>
      <c r="F79">
        <f t="shared" si="13"/>
        <v>2.5</v>
      </c>
      <c r="G79" t="str">
        <f>VLOOKUP(Sheet4!B79,Sheet4!B:C,2,FALSE)</f>
        <v>b</v>
      </c>
      <c r="H79">
        <f>VLOOKUP(A79,Sheet1!B:D,3,FALSE)</f>
        <v>121003</v>
      </c>
      <c r="I79" t="str">
        <f>VLOOKUP(A79,Sheet1!B:H,7,FALSE)</f>
        <v>224.6</v>
      </c>
      <c r="J79">
        <f t="shared" si="10"/>
        <v>5</v>
      </c>
      <c r="K79">
        <f t="shared" si="14"/>
        <v>4</v>
      </c>
      <c r="L79">
        <f>INDEX(Sheet5!$A$2:$T$2,MATCH("fwd_"&amp;LOWER(G79)&amp;"_fixed",Sheet5!$A$1:$T$1,0))</f>
        <v>33</v>
      </c>
      <c r="M79">
        <f>INDEX(Sheet5!$A$2:$Z$2,MATCH("fwd_"&amp;LOWER(G79)&amp;"_additional", Sheet5!$A$1:$Z$1, 0)
)</f>
        <v>28.3</v>
      </c>
      <c r="N79">
        <f t="shared" si="15"/>
        <v>146.19999999999999</v>
      </c>
      <c r="O79">
        <f>INDEX(
Sheet5!$A$2:$Z$2,
MATCH("rto_"&amp;LOWER(G79)&amp;"_fixed", Sheet5!$A$1:$Z$1, 0)
)</f>
        <v>20.5</v>
      </c>
      <c r="P79">
        <f>INDEX(
Sheet5!$A$2:$Z$2,
MATCH("rto_"&amp;LOWER(G79)&amp;"_additional", Sheet5!$A$1:$Z$1, 0)
)</f>
        <v>28.3</v>
      </c>
      <c r="Q79">
        <f t="shared" si="11"/>
        <v>133.69999999999999</v>
      </c>
      <c r="R79">
        <f t="shared" si="16"/>
        <v>279.89999999999998</v>
      </c>
      <c r="S79">
        <f t="shared" si="17"/>
        <v>55.299999999999983</v>
      </c>
    </row>
    <row r="80" spans="1:19" x14ac:dyDescent="0.45">
      <c r="A80" t="s">
        <v>301</v>
      </c>
      <c r="B80" t="str">
        <f>_xlfn.XLOOKUP(A80,Sheet1!B:B,Sheet1!A:A)</f>
        <v>1091120962515</v>
      </c>
      <c r="C80" cm="1">
        <f t="array" ref="C80">SUMPRODUCT((Sheet2!$A$2:$A$1000=Sheet6!A80)*Sheet2!$C$2:$C$1000*IFERROR(VLOOKUP(Sheet2!$B$2:$B$1000,Sheet3!$A:$B,2,FALSE),0))/1000</f>
        <v>0.17699999999999999</v>
      </c>
      <c r="D80">
        <f t="shared" si="12"/>
        <v>0.5</v>
      </c>
      <c r="E80" t="str">
        <f>VLOOKUP(A80,Sheet1!B:C,2,FALSE)</f>
        <v>0.2</v>
      </c>
      <c r="F80">
        <f t="shared" si="13"/>
        <v>0.5</v>
      </c>
      <c r="G80" t="str">
        <f>VLOOKUP(Sheet4!B80,Sheet4!B:C,2,FALSE)</f>
        <v>b</v>
      </c>
      <c r="H80">
        <f>VLOOKUP(A80,Sheet1!B:D,3,FALSE)</f>
        <v>121003</v>
      </c>
      <c r="I80" t="str">
        <f>VLOOKUP(A80,Sheet1!B:H,7,FALSE)</f>
        <v>45.4</v>
      </c>
      <c r="J80">
        <f t="shared" si="10"/>
        <v>1</v>
      </c>
      <c r="K80">
        <f t="shared" si="14"/>
        <v>0</v>
      </c>
      <c r="L80">
        <f>INDEX(Sheet5!$A$2:$T$2,MATCH("fwd_"&amp;LOWER(G80)&amp;"_fixed",Sheet5!$A$1:$T$1,0))</f>
        <v>33</v>
      </c>
      <c r="M80">
        <f>INDEX(Sheet5!$A$2:$Z$2,MATCH("fwd_"&amp;LOWER(G80)&amp;"_additional", Sheet5!$A$1:$Z$1, 0)
)</f>
        <v>28.3</v>
      </c>
      <c r="N80">
        <f t="shared" si="15"/>
        <v>33</v>
      </c>
      <c r="O80">
        <f>INDEX(
Sheet5!$A$2:$Z$2,
MATCH("rto_"&amp;LOWER(G80)&amp;"_fixed", Sheet5!$A$1:$Z$1, 0)
)</f>
        <v>20.5</v>
      </c>
      <c r="P80">
        <f>INDEX(
Sheet5!$A$2:$Z$2,
MATCH("rto_"&amp;LOWER(G80)&amp;"_additional", Sheet5!$A$1:$Z$1, 0)
)</f>
        <v>28.3</v>
      </c>
      <c r="Q80">
        <f t="shared" si="11"/>
        <v>20.5</v>
      </c>
      <c r="R80">
        <f t="shared" si="16"/>
        <v>53.5</v>
      </c>
      <c r="S80">
        <f t="shared" si="17"/>
        <v>8.1000000000000014</v>
      </c>
    </row>
    <row r="81" spans="1:19" x14ac:dyDescent="0.45">
      <c r="A81" t="s">
        <v>303</v>
      </c>
      <c r="B81" t="str">
        <f>_xlfn.XLOOKUP(A81,Sheet1!B:B,Sheet1!A:A)</f>
        <v>1091121031745</v>
      </c>
      <c r="C81" cm="1">
        <f t="array" ref="C81">SUMPRODUCT((Sheet2!$A$2:$A$1000=Sheet6!A81)*Sheet2!$C$2:$C$1000*IFERROR(VLOOKUP(Sheet2!$B$2:$B$1000,Sheet3!$A:$B,2,FALSE),0))/1000</f>
        <v>0.16500000000000001</v>
      </c>
      <c r="D81">
        <f t="shared" si="12"/>
        <v>0.5</v>
      </c>
      <c r="E81" t="str">
        <f>VLOOKUP(A81,Sheet1!B:C,2,FALSE)</f>
        <v>0.2</v>
      </c>
      <c r="F81">
        <f t="shared" si="13"/>
        <v>0.5</v>
      </c>
      <c r="G81" t="str">
        <f>VLOOKUP(Sheet4!B81,Sheet4!B:C,2,FALSE)</f>
        <v>b</v>
      </c>
      <c r="H81">
        <f>VLOOKUP(A81,Sheet1!B:D,3,FALSE)</f>
        <v>121003</v>
      </c>
      <c r="I81" t="str">
        <f>VLOOKUP(A81,Sheet1!B:H,7,FALSE)</f>
        <v>45.4</v>
      </c>
      <c r="J81">
        <f t="shared" si="10"/>
        <v>1</v>
      </c>
      <c r="K81">
        <f t="shared" si="14"/>
        <v>0</v>
      </c>
      <c r="L81">
        <f>INDEX(Sheet5!$A$2:$T$2,MATCH("fwd_"&amp;LOWER(G81)&amp;"_fixed",Sheet5!$A$1:$T$1,0))</f>
        <v>33</v>
      </c>
      <c r="M81">
        <f>INDEX(Sheet5!$A$2:$Z$2,MATCH("fwd_"&amp;LOWER(G81)&amp;"_additional", Sheet5!$A$1:$Z$1, 0)
)</f>
        <v>28.3</v>
      </c>
      <c r="N81">
        <f t="shared" si="15"/>
        <v>33</v>
      </c>
      <c r="O81">
        <f>INDEX(
Sheet5!$A$2:$Z$2,
MATCH("rto_"&amp;LOWER(G81)&amp;"_fixed", Sheet5!$A$1:$Z$1, 0)
)</f>
        <v>20.5</v>
      </c>
      <c r="P81">
        <f>INDEX(
Sheet5!$A$2:$Z$2,
MATCH("rto_"&amp;LOWER(G81)&amp;"_additional", Sheet5!$A$1:$Z$1, 0)
)</f>
        <v>28.3</v>
      </c>
      <c r="Q81">
        <f t="shared" si="11"/>
        <v>20.5</v>
      </c>
      <c r="R81">
        <f t="shared" si="16"/>
        <v>53.5</v>
      </c>
      <c r="S81">
        <f t="shared" si="17"/>
        <v>8.1000000000000014</v>
      </c>
    </row>
    <row r="82" spans="1:19" x14ac:dyDescent="0.45">
      <c r="A82" t="s">
        <v>306</v>
      </c>
      <c r="B82" t="str">
        <f>_xlfn.XLOOKUP(A82,Sheet1!B:B,Sheet1!A:A)</f>
        <v>1091121034114</v>
      </c>
      <c r="C82" cm="1">
        <f t="array" ref="C82">SUMPRODUCT((Sheet2!$A$2:$A$1000=Sheet6!A82)*Sheet2!$C$2:$C$1000*IFERROR(VLOOKUP(Sheet2!$B$2:$B$1000,Sheet3!$A:$B,2,FALSE),0))/1000</f>
        <v>0.24</v>
      </c>
      <c r="D82">
        <f t="shared" si="12"/>
        <v>0.5</v>
      </c>
      <c r="E82" t="str">
        <f>VLOOKUP(A82,Sheet1!B:C,2,FALSE)</f>
        <v>0.15</v>
      </c>
      <c r="F82">
        <f t="shared" si="13"/>
        <v>0.5</v>
      </c>
      <c r="G82" t="str">
        <f>VLOOKUP(Sheet4!B82,Sheet4!B:C,2,FALSE)</f>
        <v>b</v>
      </c>
      <c r="H82">
        <f>VLOOKUP(A82,Sheet1!B:D,3,FALSE)</f>
        <v>121003</v>
      </c>
      <c r="I82" t="str">
        <f>VLOOKUP(A82,Sheet1!B:H,7,FALSE)</f>
        <v>45.4</v>
      </c>
      <c r="J82">
        <f t="shared" si="10"/>
        <v>1</v>
      </c>
      <c r="K82">
        <f t="shared" si="14"/>
        <v>0</v>
      </c>
      <c r="L82">
        <f>INDEX(Sheet5!$A$2:$T$2,MATCH("fwd_"&amp;LOWER(G82)&amp;"_fixed",Sheet5!$A$1:$T$1,0))</f>
        <v>33</v>
      </c>
      <c r="M82">
        <f>INDEX(Sheet5!$A$2:$Z$2,MATCH("fwd_"&amp;LOWER(G82)&amp;"_additional", Sheet5!$A$1:$Z$1, 0)
)</f>
        <v>28.3</v>
      </c>
      <c r="N82">
        <f t="shared" si="15"/>
        <v>33</v>
      </c>
      <c r="O82">
        <f>INDEX(
Sheet5!$A$2:$Z$2,
MATCH("rto_"&amp;LOWER(G82)&amp;"_fixed", Sheet5!$A$1:$Z$1, 0)
)</f>
        <v>20.5</v>
      </c>
      <c r="P82">
        <f>INDEX(
Sheet5!$A$2:$Z$2,
MATCH("rto_"&amp;LOWER(G82)&amp;"_additional", Sheet5!$A$1:$Z$1, 0)
)</f>
        <v>28.3</v>
      </c>
      <c r="Q82">
        <f t="shared" si="11"/>
        <v>20.5</v>
      </c>
      <c r="R82">
        <f t="shared" si="16"/>
        <v>53.5</v>
      </c>
      <c r="S82">
        <f t="shared" si="17"/>
        <v>8.1000000000000014</v>
      </c>
    </row>
    <row r="83" spans="1:19" x14ac:dyDescent="0.45">
      <c r="A83" t="s">
        <v>309</v>
      </c>
      <c r="B83" t="str">
        <f>_xlfn.XLOOKUP(A83,Sheet1!B:B,Sheet1!A:A)</f>
        <v>1091121034350</v>
      </c>
      <c r="C83" cm="1">
        <f t="array" ref="C83">SUMPRODUCT((Sheet2!$A$2:$A$1000=Sheet6!A83)*Sheet2!$C$2:$C$1000*IFERROR(VLOOKUP(Sheet2!$B$2:$B$1000,Sheet3!$A:$B,2,FALSE),0))/1000</f>
        <v>0.755</v>
      </c>
      <c r="D83">
        <f t="shared" si="12"/>
        <v>1</v>
      </c>
      <c r="E83" t="str">
        <f>VLOOKUP(A83,Sheet1!B:C,2,FALSE)</f>
        <v>0.8</v>
      </c>
      <c r="F83">
        <f t="shared" si="13"/>
        <v>1</v>
      </c>
      <c r="G83" t="str">
        <f>VLOOKUP(Sheet4!B83,Sheet4!B:C,2,FALSE)</f>
        <v>b</v>
      </c>
      <c r="H83">
        <f>VLOOKUP(A83,Sheet1!B:D,3,FALSE)</f>
        <v>121003</v>
      </c>
      <c r="I83" t="str">
        <f>VLOOKUP(A83,Sheet1!B:H,7,FALSE)</f>
        <v>90.2</v>
      </c>
      <c r="J83">
        <f t="shared" si="10"/>
        <v>2</v>
      </c>
      <c r="K83">
        <f t="shared" si="14"/>
        <v>1</v>
      </c>
      <c r="L83">
        <f>INDEX(Sheet5!$A$2:$T$2,MATCH("fwd_"&amp;LOWER(G83)&amp;"_fixed",Sheet5!$A$1:$T$1,0))</f>
        <v>33</v>
      </c>
      <c r="M83">
        <f>INDEX(Sheet5!$A$2:$Z$2,MATCH("fwd_"&amp;LOWER(G83)&amp;"_additional", Sheet5!$A$1:$Z$1, 0)
)</f>
        <v>28.3</v>
      </c>
      <c r="N83">
        <f t="shared" si="15"/>
        <v>61.3</v>
      </c>
      <c r="O83">
        <f>INDEX(
Sheet5!$A$2:$Z$2,
MATCH("rto_"&amp;LOWER(G83)&amp;"_fixed", Sheet5!$A$1:$Z$1, 0)
)</f>
        <v>20.5</v>
      </c>
      <c r="P83">
        <f>INDEX(
Sheet5!$A$2:$Z$2,
MATCH("rto_"&amp;LOWER(G83)&amp;"_additional", Sheet5!$A$1:$Z$1, 0)
)</f>
        <v>28.3</v>
      </c>
      <c r="Q83">
        <f t="shared" si="11"/>
        <v>48.8</v>
      </c>
      <c r="R83">
        <f t="shared" si="16"/>
        <v>110.1</v>
      </c>
      <c r="S83">
        <f t="shared" si="17"/>
        <v>19.899999999999991</v>
      </c>
    </row>
    <row r="84" spans="1:19" x14ac:dyDescent="0.45">
      <c r="A84" t="s">
        <v>312</v>
      </c>
      <c r="B84" t="str">
        <f>_xlfn.XLOOKUP(A84,Sheet1!B:B,Sheet1!A:A)</f>
        <v>1091121034641</v>
      </c>
      <c r="C84" cm="1">
        <f t="array" ref="C84">SUMPRODUCT((Sheet2!$A$2:$A$1000=Sheet6!A84)*Sheet2!$C$2:$C$1000*IFERROR(VLOOKUP(Sheet2!$B$2:$B$1000,Sheet3!$A:$B,2,FALSE),0))/1000</f>
        <v>0.24</v>
      </c>
      <c r="D84">
        <f t="shared" si="12"/>
        <v>0.5</v>
      </c>
      <c r="E84" t="str">
        <f>VLOOKUP(A84,Sheet1!B:C,2,FALSE)</f>
        <v>0.2</v>
      </c>
      <c r="F84">
        <f t="shared" si="13"/>
        <v>0.5</v>
      </c>
      <c r="G84" t="str">
        <f>VLOOKUP(Sheet4!B84,Sheet4!B:C,2,FALSE)</f>
        <v>b</v>
      </c>
      <c r="H84">
        <f>VLOOKUP(A84,Sheet1!B:D,3,FALSE)</f>
        <v>121003</v>
      </c>
      <c r="I84" t="str">
        <f>VLOOKUP(A84,Sheet1!B:H,7,FALSE)</f>
        <v>45.4</v>
      </c>
      <c r="J84">
        <f t="shared" si="10"/>
        <v>1</v>
      </c>
      <c r="K84">
        <f t="shared" si="14"/>
        <v>0</v>
      </c>
      <c r="L84">
        <f>INDEX(Sheet5!$A$2:$T$2,MATCH("fwd_"&amp;LOWER(G84)&amp;"_fixed",Sheet5!$A$1:$T$1,0))</f>
        <v>33</v>
      </c>
      <c r="M84">
        <f>INDEX(Sheet5!$A$2:$Z$2,MATCH("fwd_"&amp;LOWER(G84)&amp;"_additional", Sheet5!$A$1:$Z$1, 0)
)</f>
        <v>28.3</v>
      </c>
      <c r="N84">
        <f t="shared" si="15"/>
        <v>33</v>
      </c>
      <c r="O84">
        <f>INDEX(
Sheet5!$A$2:$Z$2,
MATCH("rto_"&amp;LOWER(G84)&amp;"_fixed", Sheet5!$A$1:$Z$1, 0)
)</f>
        <v>20.5</v>
      </c>
      <c r="P84">
        <f>INDEX(
Sheet5!$A$2:$Z$2,
MATCH("rto_"&amp;LOWER(G84)&amp;"_additional", Sheet5!$A$1:$Z$1, 0)
)</f>
        <v>28.3</v>
      </c>
      <c r="Q84">
        <f t="shared" si="11"/>
        <v>20.5</v>
      </c>
      <c r="R84">
        <f t="shared" si="16"/>
        <v>53.5</v>
      </c>
      <c r="S84">
        <f t="shared" si="17"/>
        <v>8.1000000000000014</v>
      </c>
    </row>
    <row r="85" spans="1:19" x14ac:dyDescent="0.45">
      <c r="A85" t="s">
        <v>314</v>
      </c>
      <c r="B85" t="str">
        <f>_xlfn.XLOOKUP(A85,Sheet1!B:B,Sheet1!A:A)</f>
        <v>1091121183730</v>
      </c>
      <c r="C85" cm="1">
        <f t="array" ref="C85">SUMPRODUCT((Sheet2!$A$2:$A$1000=Sheet6!A85)*Sheet2!$C$2:$C$1000*IFERROR(VLOOKUP(Sheet2!$B$2:$B$1000,Sheet3!$A:$B,2,FALSE),0))/1000</f>
        <v>0.47699999999999998</v>
      </c>
      <c r="D85">
        <f t="shared" si="12"/>
        <v>0.5</v>
      </c>
      <c r="E85" t="str">
        <f>VLOOKUP(A85,Sheet1!B:C,2,FALSE)</f>
        <v>0.5</v>
      </c>
      <c r="F85">
        <f t="shared" si="13"/>
        <v>0.5</v>
      </c>
      <c r="G85" t="str">
        <f>VLOOKUP(Sheet4!B85,Sheet4!B:C,2,FALSE)</f>
        <v>b</v>
      </c>
      <c r="H85">
        <f>VLOOKUP(A85,Sheet1!B:D,3,FALSE)</f>
        <v>121003</v>
      </c>
      <c r="I85" t="str">
        <f>VLOOKUP(A85,Sheet1!B:H,7,FALSE)</f>
        <v>45.4</v>
      </c>
      <c r="J85">
        <f t="shared" si="10"/>
        <v>1</v>
      </c>
      <c r="K85">
        <f t="shared" si="14"/>
        <v>0</v>
      </c>
      <c r="L85">
        <f>INDEX(Sheet5!$A$2:$T$2,MATCH("fwd_"&amp;LOWER(G85)&amp;"_fixed",Sheet5!$A$1:$T$1,0))</f>
        <v>33</v>
      </c>
      <c r="M85">
        <f>INDEX(Sheet5!$A$2:$Z$2,MATCH("fwd_"&amp;LOWER(G85)&amp;"_additional", Sheet5!$A$1:$Z$1, 0)
)</f>
        <v>28.3</v>
      </c>
      <c r="N85">
        <f t="shared" si="15"/>
        <v>33</v>
      </c>
      <c r="O85">
        <f>INDEX(
Sheet5!$A$2:$Z$2,
MATCH("rto_"&amp;LOWER(G85)&amp;"_fixed", Sheet5!$A$1:$Z$1, 0)
)</f>
        <v>20.5</v>
      </c>
      <c r="P85">
        <f>INDEX(
Sheet5!$A$2:$Z$2,
MATCH("rto_"&amp;LOWER(G85)&amp;"_additional", Sheet5!$A$1:$Z$1, 0)
)</f>
        <v>28.3</v>
      </c>
      <c r="Q85">
        <f t="shared" si="11"/>
        <v>20.5</v>
      </c>
      <c r="R85">
        <f t="shared" si="16"/>
        <v>53.5</v>
      </c>
      <c r="S85">
        <f t="shared" si="17"/>
        <v>8.1000000000000014</v>
      </c>
    </row>
    <row r="86" spans="1:19" x14ac:dyDescent="0.45">
      <c r="A86" t="s">
        <v>317</v>
      </c>
      <c r="B86" t="str">
        <f>_xlfn.XLOOKUP(A86,Sheet1!B:B,Sheet1!A:A)</f>
        <v>1091121185863</v>
      </c>
      <c r="C86" cm="1">
        <f t="array" ref="C86">SUMPRODUCT((Sheet2!$A$2:$A$1000=Sheet6!A86)*Sheet2!$C$2:$C$1000*IFERROR(VLOOKUP(Sheet2!$B$2:$B$1000,Sheet3!$A:$B,2,FALSE),0))/1000</f>
        <v>0.55800000000000005</v>
      </c>
      <c r="D86">
        <f t="shared" si="12"/>
        <v>1</v>
      </c>
      <c r="E86" t="str">
        <f>VLOOKUP(A86,Sheet1!B:C,2,FALSE)</f>
        <v>0.6</v>
      </c>
      <c r="F86">
        <f t="shared" si="13"/>
        <v>1</v>
      </c>
      <c r="G86" t="str">
        <f>VLOOKUP(Sheet4!B86,Sheet4!B:C,2,FALSE)</f>
        <v>b</v>
      </c>
      <c r="H86">
        <f>VLOOKUP(A86,Sheet1!B:D,3,FALSE)</f>
        <v>121003</v>
      </c>
      <c r="I86" t="str">
        <f>VLOOKUP(A86,Sheet1!B:H,7,FALSE)</f>
        <v>90.2</v>
      </c>
      <c r="J86">
        <f t="shared" si="10"/>
        <v>2</v>
      </c>
      <c r="K86">
        <f t="shared" si="14"/>
        <v>1</v>
      </c>
      <c r="L86">
        <f>INDEX(Sheet5!$A$2:$T$2,MATCH("fwd_"&amp;LOWER(G86)&amp;"_fixed",Sheet5!$A$1:$T$1,0))</f>
        <v>33</v>
      </c>
      <c r="M86">
        <f>INDEX(Sheet5!$A$2:$Z$2,MATCH("fwd_"&amp;LOWER(G86)&amp;"_additional", Sheet5!$A$1:$Z$1, 0)
)</f>
        <v>28.3</v>
      </c>
      <c r="N86">
        <f t="shared" si="15"/>
        <v>61.3</v>
      </c>
      <c r="O86">
        <f>INDEX(
Sheet5!$A$2:$Z$2,
MATCH("rto_"&amp;LOWER(G86)&amp;"_fixed", Sheet5!$A$1:$Z$1, 0)
)</f>
        <v>20.5</v>
      </c>
      <c r="P86">
        <f>INDEX(
Sheet5!$A$2:$Z$2,
MATCH("rto_"&amp;LOWER(G86)&amp;"_additional", Sheet5!$A$1:$Z$1, 0)
)</f>
        <v>28.3</v>
      </c>
      <c r="Q86">
        <f t="shared" si="11"/>
        <v>48.8</v>
      </c>
      <c r="R86">
        <f t="shared" si="16"/>
        <v>110.1</v>
      </c>
      <c r="S86">
        <f t="shared" si="17"/>
        <v>19.899999999999991</v>
      </c>
    </row>
    <row r="87" spans="1:19" x14ac:dyDescent="0.45">
      <c r="A87" t="s">
        <v>320</v>
      </c>
      <c r="B87" t="str">
        <f>_xlfn.XLOOKUP(A87,Sheet1!B:B,Sheet1!A:A)</f>
        <v>1091121305541</v>
      </c>
      <c r="C87" cm="1">
        <f t="array" ref="C87">SUMPRODUCT((Sheet2!$A$2:$A$1000=Sheet6!A87)*Sheet2!$C$2:$C$1000*IFERROR(VLOOKUP(Sheet2!$B$2:$B$1000,Sheet3!$A:$B,2,FALSE),0))/1000</f>
        <v>1.3759999999999999</v>
      </c>
      <c r="D87">
        <f t="shared" si="12"/>
        <v>1.5</v>
      </c>
      <c r="E87" t="str">
        <f>VLOOKUP(A87,Sheet1!B:C,2,FALSE)</f>
        <v>1.1</v>
      </c>
      <c r="F87">
        <f t="shared" si="13"/>
        <v>1.5</v>
      </c>
      <c r="G87" t="str">
        <f>VLOOKUP(Sheet4!B87,Sheet4!B:C,2,FALSE)</f>
        <v>b</v>
      </c>
      <c r="H87">
        <f>VLOOKUP(A87,Sheet1!B:D,3,FALSE)</f>
        <v>121003</v>
      </c>
      <c r="I87" t="str">
        <f>VLOOKUP(A87,Sheet1!B:H,7,FALSE)</f>
        <v>135</v>
      </c>
      <c r="J87">
        <f t="shared" si="10"/>
        <v>3</v>
      </c>
      <c r="K87">
        <f t="shared" si="14"/>
        <v>2</v>
      </c>
      <c r="L87">
        <f>INDEX(Sheet5!$A$2:$T$2,MATCH("fwd_"&amp;LOWER(G87)&amp;"_fixed",Sheet5!$A$1:$T$1,0))</f>
        <v>33</v>
      </c>
      <c r="M87">
        <f>INDEX(Sheet5!$A$2:$Z$2,MATCH("fwd_"&amp;LOWER(G87)&amp;"_additional", Sheet5!$A$1:$Z$1, 0)
)</f>
        <v>28.3</v>
      </c>
      <c r="N87">
        <f t="shared" si="15"/>
        <v>89.6</v>
      </c>
      <c r="O87">
        <f>INDEX(
Sheet5!$A$2:$Z$2,
MATCH("rto_"&amp;LOWER(G87)&amp;"_fixed", Sheet5!$A$1:$Z$1, 0)
)</f>
        <v>20.5</v>
      </c>
      <c r="P87">
        <f>INDEX(
Sheet5!$A$2:$Z$2,
MATCH("rto_"&amp;LOWER(G87)&amp;"_additional", Sheet5!$A$1:$Z$1, 0)
)</f>
        <v>28.3</v>
      </c>
      <c r="Q87">
        <f t="shared" si="11"/>
        <v>77.099999999999994</v>
      </c>
      <c r="R87">
        <f t="shared" si="16"/>
        <v>166.7</v>
      </c>
      <c r="S87">
        <f t="shared" si="17"/>
        <v>31.699999999999989</v>
      </c>
    </row>
    <row r="88" spans="1:19" x14ac:dyDescent="0.45">
      <c r="A88" t="s">
        <v>324</v>
      </c>
      <c r="B88" t="str">
        <f>_xlfn.XLOOKUP(A88,Sheet1!B:B,Sheet1!A:A)</f>
        <v>1091121306101</v>
      </c>
      <c r="C88" cm="1">
        <f t="array" ref="C88">SUMPRODUCT((Sheet2!$A$2:$A$1000=Sheet6!A88)*Sheet2!$C$2:$C$1000*IFERROR(VLOOKUP(Sheet2!$B$2:$B$1000,Sheet3!$A:$B,2,FALSE),0))/1000</f>
        <v>6.5000000000000002E-2</v>
      </c>
      <c r="D88">
        <f t="shared" si="12"/>
        <v>0.5</v>
      </c>
      <c r="E88" t="str">
        <f>VLOOKUP(A88,Sheet1!B:C,2,FALSE)</f>
        <v>0.15</v>
      </c>
      <c r="F88">
        <f t="shared" si="13"/>
        <v>0.5</v>
      </c>
      <c r="G88" t="str">
        <f>VLOOKUP(Sheet4!B88,Sheet4!B:C,2,FALSE)</f>
        <v>b</v>
      </c>
      <c r="H88">
        <f>VLOOKUP(A88,Sheet1!B:D,3,FALSE)</f>
        <v>121003</v>
      </c>
      <c r="I88" t="str">
        <f>VLOOKUP(A88,Sheet1!B:H,7,FALSE)</f>
        <v>45.4</v>
      </c>
      <c r="J88">
        <f t="shared" si="10"/>
        <v>1</v>
      </c>
      <c r="K88">
        <f t="shared" si="14"/>
        <v>0</v>
      </c>
      <c r="L88">
        <f>INDEX(Sheet5!$A$2:$T$2,MATCH("fwd_"&amp;LOWER(G88)&amp;"_fixed",Sheet5!$A$1:$T$1,0))</f>
        <v>33</v>
      </c>
      <c r="M88">
        <f>INDEX(Sheet5!$A$2:$Z$2,MATCH("fwd_"&amp;LOWER(G88)&amp;"_additional", Sheet5!$A$1:$Z$1, 0)
)</f>
        <v>28.3</v>
      </c>
      <c r="N88">
        <f t="shared" si="15"/>
        <v>33</v>
      </c>
      <c r="O88">
        <f>INDEX(
Sheet5!$A$2:$Z$2,
MATCH("rto_"&amp;LOWER(G88)&amp;"_fixed", Sheet5!$A$1:$Z$1, 0)
)</f>
        <v>20.5</v>
      </c>
      <c r="P88">
        <f>INDEX(
Sheet5!$A$2:$Z$2,
MATCH("rto_"&amp;LOWER(G88)&amp;"_additional", Sheet5!$A$1:$Z$1, 0)
)</f>
        <v>28.3</v>
      </c>
      <c r="Q88">
        <f t="shared" si="11"/>
        <v>20.5</v>
      </c>
      <c r="R88">
        <f t="shared" si="16"/>
        <v>53.5</v>
      </c>
      <c r="S88">
        <f t="shared" si="17"/>
        <v>8.1000000000000014</v>
      </c>
    </row>
    <row r="89" spans="1:19" x14ac:dyDescent="0.45">
      <c r="A89" t="s">
        <v>327</v>
      </c>
      <c r="B89" t="str">
        <f>_xlfn.XLOOKUP(A89,Sheet1!B:B,Sheet1!A:A)</f>
        <v>1091118004245</v>
      </c>
      <c r="C89" cm="1">
        <f t="array" ref="C89">SUMPRODUCT((Sheet2!$A$2:$A$1000=Sheet6!A89)*Sheet2!$C$2:$C$1000*IFERROR(VLOOKUP(Sheet2!$B$2:$B$1000,Sheet3!$A:$B,2,FALSE),0))/1000</f>
        <v>0.72099999999999997</v>
      </c>
      <c r="D89">
        <f t="shared" si="12"/>
        <v>1</v>
      </c>
      <c r="E89" t="str">
        <f>VLOOKUP(A89,Sheet1!B:C,2,FALSE)</f>
        <v>0.8</v>
      </c>
      <c r="F89">
        <f t="shared" si="13"/>
        <v>1</v>
      </c>
      <c r="G89" t="str">
        <f>VLOOKUP(Sheet4!B89,Sheet4!B:C,2,FALSE)</f>
        <v>e</v>
      </c>
      <c r="H89">
        <f>VLOOKUP(A89,Sheet1!B:D,3,FALSE)</f>
        <v>121003</v>
      </c>
      <c r="I89" t="str">
        <f>VLOOKUP(A89,Sheet1!B:H,7,FALSE)</f>
        <v>61.3</v>
      </c>
      <c r="J89">
        <f t="shared" si="10"/>
        <v>2</v>
      </c>
      <c r="K89">
        <f t="shared" si="14"/>
        <v>1</v>
      </c>
      <c r="L89">
        <f>INDEX(Sheet5!$A$2:$T$2,MATCH("fwd_"&amp;LOWER(G89)&amp;"_fixed",Sheet5!$A$1:$T$1,0))</f>
        <v>56.6</v>
      </c>
      <c r="M89">
        <f>INDEX(Sheet5!$A$2:$Z$2,MATCH("fwd_"&amp;LOWER(G89)&amp;"_additional", Sheet5!$A$1:$Z$1, 0)
)</f>
        <v>55.5</v>
      </c>
      <c r="N89">
        <f t="shared" si="15"/>
        <v>112.1</v>
      </c>
      <c r="O89">
        <f>INDEX(
Sheet5!$A$2:$Z$2,
MATCH("rto_"&amp;LOWER(G89)&amp;"_fixed", Sheet5!$A$1:$Z$1, 0)
)</f>
        <v>50.7</v>
      </c>
      <c r="P89">
        <f>INDEX(
Sheet5!$A$2:$Z$2,
MATCH("rto_"&amp;LOWER(G89)&amp;"_additional", Sheet5!$A$1:$Z$1, 0)
)</f>
        <v>55.5</v>
      </c>
      <c r="Q89">
        <f t="shared" si="11"/>
        <v>106.2</v>
      </c>
      <c r="R89">
        <f t="shared" si="16"/>
        <v>218.3</v>
      </c>
      <c r="S89">
        <f t="shared" si="17"/>
        <v>157</v>
      </c>
    </row>
    <row r="90" spans="1:19" x14ac:dyDescent="0.45">
      <c r="A90" t="s">
        <v>330</v>
      </c>
      <c r="B90" t="str">
        <f>_xlfn.XLOOKUP(A90,Sheet1!B:B,Sheet1!A:A)</f>
        <v>1091120352712</v>
      </c>
      <c r="C90" cm="1">
        <f t="array" ref="C90">SUMPRODUCT((Sheet2!$A$2:$A$1000=Sheet6!A90)*Sheet2!$C$2:$C$1000*IFERROR(VLOOKUP(Sheet2!$B$2:$B$1000,Sheet3!$A:$B,2,FALSE),0))/1000</f>
        <v>0.27</v>
      </c>
      <c r="D90">
        <f t="shared" si="12"/>
        <v>0.5</v>
      </c>
      <c r="E90" t="str">
        <f>VLOOKUP(A90,Sheet1!B:C,2,FALSE)</f>
        <v>0.3</v>
      </c>
      <c r="F90">
        <f t="shared" si="13"/>
        <v>0.5</v>
      </c>
      <c r="G90" t="str">
        <f>VLOOKUP(Sheet4!B90,Sheet4!B:C,2,FALSE)</f>
        <v>e</v>
      </c>
      <c r="H90">
        <f>VLOOKUP(A90,Sheet1!B:D,3,FALSE)</f>
        <v>121003</v>
      </c>
      <c r="I90" t="str">
        <f>VLOOKUP(A90,Sheet1!B:H,7,FALSE)</f>
        <v>33</v>
      </c>
      <c r="J90">
        <f t="shared" si="10"/>
        <v>1</v>
      </c>
      <c r="K90">
        <f t="shared" si="14"/>
        <v>0</v>
      </c>
      <c r="L90">
        <f>INDEX(Sheet5!$A$2:$T$2,MATCH("fwd_"&amp;LOWER(G90)&amp;"_fixed",Sheet5!$A$1:$T$1,0))</f>
        <v>56.6</v>
      </c>
      <c r="M90">
        <f>INDEX(Sheet5!$A$2:$Z$2,MATCH("fwd_"&amp;LOWER(G90)&amp;"_additional", Sheet5!$A$1:$Z$1, 0)
)</f>
        <v>55.5</v>
      </c>
      <c r="N90">
        <f t="shared" si="15"/>
        <v>56.6</v>
      </c>
      <c r="O90">
        <f>INDEX(
Sheet5!$A$2:$Z$2,
MATCH("rto_"&amp;LOWER(G90)&amp;"_fixed", Sheet5!$A$1:$Z$1, 0)
)</f>
        <v>50.7</v>
      </c>
      <c r="P90">
        <f>INDEX(
Sheet5!$A$2:$Z$2,
MATCH("rto_"&amp;LOWER(G90)&amp;"_additional", Sheet5!$A$1:$Z$1, 0)
)</f>
        <v>55.5</v>
      </c>
      <c r="Q90">
        <f t="shared" si="11"/>
        <v>50.7</v>
      </c>
      <c r="R90">
        <f t="shared" si="16"/>
        <v>107.30000000000001</v>
      </c>
      <c r="S90">
        <f t="shared" si="17"/>
        <v>74.300000000000011</v>
      </c>
    </row>
    <row r="91" spans="1:19" x14ac:dyDescent="0.45">
      <c r="A91" t="s">
        <v>334</v>
      </c>
      <c r="B91" t="str">
        <f>_xlfn.XLOOKUP(A91,Sheet1!B:B,Sheet1!A:A)</f>
        <v>1091122418320</v>
      </c>
      <c r="C91" cm="1">
        <f t="array" ref="C91">SUMPRODUCT((Sheet2!$A$2:$A$1000=Sheet6!A91)*Sheet2!$C$2:$C$1000*IFERROR(VLOOKUP(Sheet2!$B$2:$B$1000,Sheet3!$A:$B,2,FALSE),0))/1000</f>
        <v>1.6759999999999999</v>
      </c>
      <c r="D91">
        <f t="shared" si="12"/>
        <v>2</v>
      </c>
      <c r="E91" t="str">
        <f>VLOOKUP(A91,Sheet1!B:C,2,FALSE)</f>
        <v>1.6</v>
      </c>
      <c r="F91">
        <f t="shared" si="13"/>
        <v>2</v>
      </c>
      <c r="G91" t="str">
        <f>VLOOKUP(Sheet4!B91,Sheet4!B:C,2,FALSE)</f>
        <v>e</v>
      </c>
      <c r="H91">
        <f>VLOOKUP(A91,Sheet1!B:D,3,FALSE)</f>
        <v>121003</v>
      </c>
      <c r="I91" t="str">
        <f>VLOOKUP(A91,Sheet1!B:H,7,FALSE)</f>
        <v>117.9</v>
      </c>
      <c r="J91">
        <f t="shared" si="10"/>
        <v>4</v>
      </c>
      <c r="K91">
        <f t="shared" si="14"/>
        <v>3</v>
      </c>
      <c r="L91">
        <f>INDEX(Sheet5!$A$2:$T$2,MATCH("fwd_"&amp;LOWER(G91)&amp;"_fixed",Sheet5!$A$1:$T$1,0))</f>
        <v>56.6</v>
      </c>
      <c r="M91">
        <f>INDEX(Sheet5!$A$2:$Z$2,MATCH("fwd_"&amp;LOWER(G91)&amp;"_additional", Sheet5!$A$1:$Z$1, 0)
)</f>
        <v>55.5</v>
      </c>
      <c r="N91">
        <f t="shared" si="15"/>
        <v>223.1</v>
      </c>
      <c r="O91">
        <f>INDEX(
Sheet5!$A$2:$Z$2,
MATCH("rto_"&amp;LOWER(G91)&amp;"_fixed", Sheet5!$A$1:$Z$1, 0)
)</f>
        <v>50.7</v>
      </c>
      <c r="P91">
        <f>INDEX(
Sheet5!$A$2:$Z$2,
MATCH("rto_"&amp;LOWER(G91)&amp;"_additional", Sheet5!$A$1:$Z$1, 0)
)</f>
        <v>55.5</v>
      </c>
      <c r="Q91">
        <f t="shared" si="11"/>
        <v>217.2</v>
      </c>
      <c r="R91">
        <f t="shared" si="16"/>
        <v>440.29999999999995</v>
      </c>
      <c r="S91">
        <f t="shared" si="17"/>
        <v>322.39999999999998</v>
      </c>
    </row>
    <row r="92" spans="1:19" x14ac:dyDescent="0.45">
      <c r="A92" t="s">
        <v>338</v>
      </c>
      <c r="B92" t="str">
        <f>_xlfn.XLOOKUP(A92,Sheet1!B:B,Sheet1!A:A)</f>
        <v>1091117222360</v>
      </c>
      <c r="C92" cm="1">
        <f t="array" ref="C92">SUMPRODUCT((Sheet2!$A$2:$A$1000=Sheet6!A92)*Sheet2!$C$2:$C$1000*IFERROR(VLOOKUP(Sheet2!$B$2:$B$1000,Sheet3!$A:$B,2,FALSE),0))/1000</f>
        <v>0.5</v>
      </c>
      <c r="D92">
        <f t="shared" si="12"/>
        <v>0.5</v>
      </c>
      <c r="E92" t="str">
        <f>VLOOKUP(A92,Sheet1!B:C,2,FALSE)</f>
        <v>0.71</v>
      </c>
      <c r="F92">
        <f t="shared" si="13"/>
        <v>1</v>
      </c>
      <c r="G92" t="str">
        <f>VLOOKUP(Sheet4!B92,Sheet4!B:C,2,FALSE)</f>
        <v>b</v>
      </c>
      <c r="H92">
        <f>VLOOKUP(A92,Sheet1!B:D,3,FALSE)</f>
        <v>121003</v>
      </c>
      <c r="I92" t="str">
        <f>VLOOKUP(A92,Sheet1!B:H,7,FALSE)</f>
        <v>90.2</v>
      </c>
      <c r="J92">
        <f t="shared" si="10"/>
        <v>1</v>
      </c>
      <c r="K92">
        <f t="shared" si="14"/>
        <v>0</v>
      </c>
      <c r="L92">
        <f>INDEX(Sheet5!$A$2:$T$2,MATCH("fwd_"&amp;LOWER(G92)&amp;"_fixed",Sheet5!$A$1:$T$1,0))</f>
        <v>33</v>
      </c>
      <c r="M92">
        <f>INDEX(Sheet5!$A$2:$Z$2,MATCH("fwd_"&amp;LOWER(G92)&amp;"_additional", Sheet5!$A$1:$Z$1, 0)
)</f>
        <v>28.3</v>
      </c>
      <c r="N92">
        <f t="shared" si="15"/>
        <v>33</v>
      </c>
      <c r="O92">
        <f>INDEX(
Sheet5!$A$2:$Z$2,
MATCH("rto_"&amp;LOWER(G92)&amp;"_fixed", Sheet5!$A$1:$Z$1, 0)
)</f>
        <v>20.5</v>
      </c>
      <c r="P92">
        <f>INDEX(
Sheet5!$A$2:$Z$2,
MATCH("rto_"&amp;LOWER(G92)&amp;"_additional", Sheet5!$A$1:$Z$1, 0)
)</f>
        <v>28.3</v>
      </c>
      <c r="Q92">
        <f t="shared" si="11"/>
        <v>20.5</v>
      </c>
      <c r="R92">
        <f t="shared" si="16"/>
        <v>53.5</v>
      </c>
      <c r="S92">
        <f t="shared" si="17"/>
        <v>-36.700000000000003</v>
      </c>
    </row>
    <row r="93" spans="1:19" x14ac:dyDescent="0.45">
      <c r="A93" t="s">
        <v>340</v>
      </c>
      <c r="B93" t="str">
        <f>_xlfn.XLOOKUP(A93,Sheet1!B:B,Sheet1!A:A)</f>
        <v>1091117227116</v>
      </c>
      <c r="C93" cm="1">
        <f t="array" ref="C93">SUMPRODUCT((Sheet2!$A$2:$A$1000=Sheet6!A93)*Sheet2!$C$2:$C$1000*IFERROR(VLOOKUP(Sheet2!$B$2:$B$1000,Sheet3!$A:$B,2,FALSE),0))/1000</f>
        <v>0.84</v>
      </c>
      <c r="D93">
        <f t="shared" si="12"/>
        <v>1</v>
      </c>
      <c r="E93" t="str">
        <f>VLOOKUP(A93,Sheet1!B:C,2,FALSE)</f>
        <v>1.02</v>
      </c>
      <c r="F93">
        <f t="shared" si="13"/>
        <v>1.5</v>
      </c>
      <c r="G93" t="str">
        <f>VLOOKUP(Sheet4!B93,Sheet4!B:C,2,FALSE)</f>
        <v>b</v>
      </c>
      <c r="H93">
        <f>VLOOKUP(A93,Sheet1!B:D,3,FALSE)</f>
        <v>121003</v>
      </c>
      <c r="I93" t="str">
        <f>VLOOKUP(A93,Sheet1!B:H,7,FALSE)</f>
        <v>135</v>
      </c>
      <c r="J93">
        <f t="shared" si="10"/>
        <v>2</v>
      </c>
      <c r="K93">
        <f t="shared" si="14"/>
        <v>1</v>
      </c>
      <c r="L93">
        <f>INDEX(Sheet5!$A$2:$T$2,MATCH("fwd_"&amp;LOWER(G93)&amp;"_fixed",Sheet5!$A$1:$T$1,0))</f>
        <v>33</v>
      </c>
      <c r="M93">
        <f>INDEX(Sheet5!$A$2:$Z$2,MATCH("fwd_"&amp;LOWER(G93)&amp;"_additional", Sheet5!$A$1:$Z$1, 0)
)</f>
        <v>28.3</v>
      </c>
      <c r="N93">
        <f t="shared" si="15"/>
        <v>61.3</v>
      </c>
      <c r="O93">
        <f>INDEX(
Sheet5!$A$2:$Z$2,
MATCH("rto_"&amp;LOWER(G93)&amp;"_fixed", Sheet5!$A$1:$Z$1, 0)
)</f>
        <v>20.5</v>
      </c>
      <c r="P93">
        <f>INDEX(
Sheet5!$A$2:$Z$2,
MATCH("rto_"&amp;LOWER(G93)&amp;"_additional", Sheet5!$A$1:$Z$1, 0)
)</f>
        <v>28.3</v>
      </c>
      <c r="Q93">
        <f t="shared" si="11"/>
        <v>48.8</v>
      </c>
      <c r="R93">
        <f t="shared" si="16"/>
        <v>110.1</v>
      </c>
      <c r="S93">
        <f t="shared" si="17"/>
        <v>-24.900000000000006</v>
      </c>
    </row>
    <row r="94" spans="1:19" x14ac:dyDescent="0.45">
      <c r="A94" t="s">
        <v>344</v>
      </c>
      <c r="B94" t="str">
        <f>_xlfn.XLOOKUP(A94,Sheet1!B:B,Sheet1!A:A)</f>
        <v>1091117228133</v>
      </c>
      <c r="C94" cm="1">
        <f t="array" ref="C94">SUMPRODUCT((Sheet2!$A$2:$A$1000=Sheet6!A94)*Sheet2!$C$2:$C$1000*IFERROR(VLOOKUP(Sheet2!$B$2:$B$1000,Sheet3!$A:$B,2,FALSE),0))/1000</f>
        <v>0.127</v>
      </c>
      <c r="D94">
        <f t="shared" si="12"/>
        <v>0.5</v>
      </c>
      <c r="E94" t="str">
        <f>VLOOKUP(A94,Sheet1!B:C,2,FALSE)</f>
        <v>0.59</v>
      </c>
      <c r="F94">
        <f t="shared" si="13"/>
        <v>1</v>
      </c>
      <c r="G94" t="str">
        <f>VLOOKUP(Sheet4!B94,Sheet4!B:C,2,FALSE)</f>
        <v>b</v>
      </c>
      <c r="H94">
        <f>VLOOKUP(A94,Sheet1!B:D,3,FALSE)</f>
        <v>121003</v>
      </c>
      <c r="I94" t="str">
        <f>VLOOKUP(A94,Sheet1!B:H,7,FALSE)</f>
        <v>90.2</v>
      </c>
      <c r="J94">
        <f t="shared" si="10"/>
        <v>1</v>
      </c>
      <c r="K94">
        <f t="shared" si="14"/>
        <v>0</v>
      </c>
      <c r="L94">
        <f>INDEX(Sheet5!$A$2:$T$2,MATCH("fwd_"&amp;LOWER(G94)&amp;"_fixed",Sheet5!$A$1:$T$1,0))</f>
        <v>33</v>
      </c>
      <c r="M94">
        <f>INDEX(Sheet5!$A$2:$Z$2,MATCH("fwd_"&amp;LOWER(G94)&amp;"_additional", Sheet5!$A$1:$Z$1, 0)
)</f>
        <v>28.3</v>
      </c>
      <c r="N94">
        <f t="shared" si="15"/>
        <v>33</v>
      </c>
      <c r="O94">
        <f>INDEX(
Sheet5!$A$2:$Z$2,
MATCH("rto_"&amp;LOWER(G94)&amp;"_fixed", Sheet5!$A$1:$Z$1, 0)
)</f>
        <v>20.5</v>
      </c>
      <c r="P94">
        <f>INDEX(
Sheet5!$A$2:$Z$2,
MATCH("rto_"&amp;LOWER(G94)&amp;"_additional", Sheet5!$A$1:$Z$1, 0)
)</f>
        <v>28.3</v>
      </c>
      <c r="Q94">
        <f t="shared" si="11"/>
        <v>20.5</v>
      </c>
      <c r="R94">
        <f t="shared" si="16"/>
        <v>53.5</v>
      </c>
      <c r="S94">
        <f t="shared" si="17"/>
        <v>-36.700000000000003</v>
      </c>
    </row>
    <row r="95" spans="1:19" x14ac:dyDescent="0.45">
      <c r="A95" t="s">
        <v>347</v>
      </c>
      <c r="B95" t="str">
        <f>_xlfn.XLOOKUP(A95,Sheet1!B:B,Sheet1!A:A)</f>
        <v>1091117228192</v>
      </c>
      <c r="C95" cm="1">
        <f t="array" ref="C95">SUMPRODUCT((Sheet2!$A$2:$A$1000=Sheet6!A95)*Sheet2!$C$2:$C$1000*IFERROR(VLOOKUP(Sheet2!$B$2:$B$1000,Sheet3!$A:$B,2,FALSE),0))/1000</f>
        <v>0.5</v>
      </c>
      <c r="D95">
        <f t="shared" si="12"/>
        <v>0.5</v>
      </c>
      <c r="E95" t="str">
        <f>VLOOKUP(A95,Sheet1!B:C,2,FALSE)</f>
        <v>0.69</v>
      </c>
      <c r="F95">
        <f t="shared" si="13"/>
        <v>1</v>
      </c>
      <c r="G95" t="str">
        <f>VLOOKUP(Sheet4!B95,Sheet4!B:C,2,FALSE)</f>
        <v>b</v>
      </c>
      <c r="H95">
        <f>VLOOKUP(A95,Sheet1!B:D,3,FALSE)</f>
        <v>121003</v>
      </c>
      <c r="I95" t="str">
        <f>VLOOKUP(A95,Sheet1!B:H,7,FALSE)</f>
        <v>90.2</v>
      </c>
      <c r="J95">
        <f t="shared" si="10"/>
        <v>1</v>
      </c>
      <c r="K95">
        <f t="shared" si="14"/>
        <v>0</v>
      </c>
      <c r="L95">
        <f>INDEX(Sheet5!$A$2:$T$2,MATCH("fwd_"&amp;LOWER(G95)&amp;"_fixed",Sheet5!$A$1:$T$1,0))</f>
        <v>33</v>
      </c>
      <c r="M95">
        <f>INDEX(Sheet5!$A$2:$Z$2,MATCH("fwd_"&amp;LOWER(G95)&amp;"_additional", Sheet5!$A$1:$Z$1, 0)
)</f>
        <v>28.3</v>
      </c>
      <c r="N95">
        <f t="shared" si="15"/>
        <v>33</v>
      </c>
      <c r="O95">
        <f>INDEX(
Sheet5!$A$2:$Z$2,
MATCH("rto_"&amp;LOWER(G95)&amp;"_fixed", Sheet5!$A$1:$Z$1, 0)
)</f>
        <v>20.5</v>
      </c>
      <c r="P95">
        <f>INDEX(
Sheet5!$A$2:$Z$2,
MATCH("rto_"&amp;LOWER(G95)&amp;"_additional", Sheet5!$A$1:$Z$1, 0)
)</f>
        <v>28.3</v>
      </c>
      <c r="Q95">
        <f t="shared" si="11"/>
        <v>20.5</v>
      </c>
      <c r="R95">
        <f t="shared" si="16"/>
        <v>53.5</v>
      </c>
      <c r="S95">
        <f t="shared" si="17"/>
        <v>-36.700000000000003</v>
      </c>
    </row>
    <row r="96" spans="1:19" x14ac:dyDescent="0.45">
      <c r="A96" t="s">
        <v>350</v>
      </c>
      <c r="B96" t="str">
        <f>_xlfn.XLOOKUP(A96,Sheet1!B:B,Sheet1!A:A)</f>
        <v>1091117229183</v>
      </c>
      <c r="C96" cm="1">
        <f t="array" ref="C96">SUMPRODUCT((Sheet2!$A$2:$A$1000=Sheet6!A96)*Sheet2!$C$2:$C$1000*IFERROR(VLOOKUP(Sheet2!$B$2:$B$1000,Sheet3!$A:$B,2,FALSE),0))/1000</f>
        <v>0.5</v>
      </c>
      <c r="D96">
        <f t="shared" si="12"/>
        <v>0.5</v>
      </c>
      <c r="E96" t="str">
        <f>VLOOKUP(A96,Sheet1!B:C,2,FALSE)</f>
        <v>0.68</v>
      </c>
      <c r="F96">
        <f t="shared" si="13"/>
        <v>1</v>
      </c>
      <c r="G96" t="str">
        <f>VLOOKUP(Sheet4!B96,Sheet4!B:C,2,FALSE)</f>
        <v>b</v>
      </c>
      <c r="H96">
        <f>VLOOKUP(A96,Sheet1!B:D,3,FALSE)</f>
        <v>121003</v>
      </c>
      <c r="I96" t="str">
        <f>VLOOKUP(A96,Sheet1!B:H,7,FALSE)</f>
        <v>90.2</v>
      </c>
      <c r="J96">
        <f t="shared" si="10"/>
        <v>1</v>
      </c>
      <c r="K96">
        <f t="shared" si="14"/>
        <v>0</v>
      </c>
      <c r="L96">
        <f>INDEX(Sheet5!$A$2:$T$2,MATCH("fwd_"&amp;LOWER(G96)&amp;"_fixed",Sheet5!$A$1:$T$1,0))</f>
        <v>33</v>
      </c>
      <c r="M96">
        <f>INDEX(Sheet5!$A$2:$Z$2,MATCH("fwd_"&amp;LOWER(G96)&amp;"_additional", Sheet5!$A$1:$Z$1, 0)
)</f>
        <v>28.3</v>
      </c>
      <c r="N96">
        <f t="shared" si="15"/>
        <v>33</v>
      </c>
      <c r="O96">
        <f>INDEX(
Sheet5!$A$2:$Z$2,
MATCH("rto_"&amp;LOWER(G96)&amp;"_fixed", Sheet5!$A$1:$Z$1, 0)
)</f>
        <v>20.5</v>
      </c>
      <c r="P96">
        <f>INDEX(
Sheet5!$A$2:$Z$2,
MATCH("rto_"&amp;LOWER(G96)&amp;"_additional", Sheet5!$A$1:$Z$1, 0)
)</f>
        <v>28.3</v>
      </c>
      <c r="Q96">
        <f t="shared" si="11"/>
        <v>20.5</v>
      </c>
      <c r="R96">
        <f t="shared" si="16"/>
        <v>53.5</v>
      </c>
      <c r="S96">
        <f t="shared" si="17"/>
        <v>-36.700000000000003</v>
      </c>
    </row>
    <row r="97" spans="1:19" x14ac:dyDescent="0.45">
      <c r="A97" t="s">
        <v>353</v>
      </c>
      <c r="B97" t="str">
        <f>_xlfn.XLOOKUP(A97,Sheet1!B:B,Sheet1!A:A)</f>
        <v>1091117324346</v>
      </c>
      <c r="C97" cm="1">
        <f t="array" ref="C97">SUMPRODUCT((Sheet2!$A$2:$A$1000=Sheet6!A97)*Sheet2!$C$2:$C$1000*IFERROR(VLOOKUP(Sheet2!$B$2:$B$1000,Sheet3!$A:$B,2,FALSE),0))/1000</f>
        <v>0.49</v>
      </c>
      <c r="D97">
        <f t="shared" si="12"/>
        <v>0.5</v>
      </c>
      <c r="E97" t="str">
        <f>VLOOKUP(A97,Sheet1!B:C,2,FALSE)</f>
        <v>2.28</v>
      </c>
      <c r="F97">
        <f t="shared" si="13"/>
        <v>2.5</v>
      </c>
      <c r="G97" t="str">
        <f>VLOOKUP(Sheet4!B97,Sheet4!B:C,2,FALSE)</f>
        <v>b</v>
      </c>
      <c r="H97">
        <f>VLOOKUP(A97,Sheet1!B:D,3,FALSE)</f>
        <v>121003</v>
      </c>
      <c r="I97" t="str">
        <f>VLOOKUP(A97,Sheet1!B:H,7,FALSE)</f>
        <v>224.6</v>
      </c>
      <c r="J97">
        <f t="shared" si="10"/>
        <v>1</v>
      </c>
      <c r="K97">
        <f t="shared" si="14"/>
        <v>0</v>
      </c>
      <c r="L97">
        <f>INDEX(Sheet5!$A$2:$T$2,MATCH("fwd_"&amp;LOWER(G97)&amp;"_fixed",Sheet5!$A$1:$T$1,0))</f>
        <v>33</v>
      </c>
      <c r="M97">
        <f>INDEX(Sheet5!$A$2:$Z$2,MATCH("fwd_"&amp;LOWER(G97)&amp;"_additional", Sheet5!$A$1:$Z$1, 0)
)</f>
        <v>28.3</v>
      </c>
      <c r="N97">
        <f t="shared" si="15"/>
        <v>33</v>
      </c>
      <c r="O97">
        <f>INDEX(
Sheet5!$A$2:$Z$2,
MATCH("rto_"&amp;LOWER(G97)&amp;"_fixed", Sheet5!$A$1:$Z$1, 0)
)</f>
        <v>20.5</v>
      </c>
      <c r="P97">
        <f>INDEX(
Sheet5!$A$2:$Z$2,
MATCH("rto_"&amp;LOWER(G97)&amp;"_additional", Sheet5!$A$1:$Z$1, 0)
)</f>
        <v>28.3</v>
      </c>
      <c r="Q97">
        <f t="shared" si="11"/>
        <v>20.5</v>
      </c>
      <c r="R97">
        <f t="shared" si="16"/>
        <v>53.5</v>
      </c>
      <c r="S97">
        <f t="shared" si="17"/>
        <v>-171.1</v>
      </c>
    </row>
    <row r="98" spans="1:19" x14ac:dyDescent="0.45">
      <c r="A98" t="s">
        <v>357</v>
      </c>
      <c r="B98" t="str">
        <f>_xlfn.XLOOKUP(A98,Sheet1!B:B,Sheet1!A:A)</f>
        <v>1091117326424</v>
      </c>
      <c r="C98" cm="1">
        <f t="array" ref="C98">SUMPRODUCT((Sheet2!$A$2:$A$1000=Sheet6!A98)*Sheet2!$C$2:$C$1000*IFERROR(VLOOKUP(Sheet2!$B$2:$B$1000,Sheet3!$A:$B,2,FALSE),0))/1000</f>
        <v>0.5</v>
      </c>
      <c r="D98">
        <f t="shared" si="12"/>
        <v>0.5</v>
      </c>
      <c r="E98" t="str">
        <f>VLOOKUP(A98,Sheet1!B:C,2,FALSE)</f>
        <v>0.68</v>
      </c>
      <c r="F98">
        <f t="shared" si="13"/>
        <v>1</v>
      </c>
      <c r="G98" t="str">
        <f>VLOOKUP(Sheet4!B98,Sheet4!B:C,2,FALSE)</f>
        <v>b</v>
      </c>
      <c r="H98">
        <f>VLOOKUP(A98,Sheet1!B:D,3,FALSE)</f>
        <v>121003</v>
      </c>
      <c r="I98" t="str">
        <f>VLOOKUP(A98,Sheet1!B:H,7,FALSE)</f>
        <v>90.2</v>
      </c>
      <c r="J98">
        <f t="shared" ref="J98:J125" si="18">D98/0.5</f>
        <v>1</v>
      </c>
      <c r="K98">
        <f t="shared" si="14"/>
        <v>0</v>
      </c>
      <c r="L98">
        <f>INDEX(Sheet5!$A$2:$T$2,MATCH("fwd_"&amp;LOWER(G98)&amp;"_fixed",Sheet5!$A$1:$T$1,0))</f>
        <v>33</v>
      </c>
      <c r="M98">
        <f>INDEX(Sheet5!$A$2:$Z$2,MATCH("fwd_"&amp;LOWER(G98)&amp;"_additional", Sheet5!$A$1:$Z$1, 0)
)</f>
        <v>28.3</v>
      </c>
      <c r="N98">
        <f t="shared" si="15"/>
        <v>33</v>
      </c>
      <c r="O98">
        <f>INDEX(
Sheet5!$A$2:$Z$2,
MATCH("rto_"&amp;LOWER(G98)&amp;"_fixed", Sheet5!$A$1:$Z$1, 0)
)</f>
        <v>20.5</v>
      </c>
      <c r="P98">
        <f>INDEX(
Sheet5!$A$2:$Z$2,
MATCH("rto_"&amp;LOWER(G98)&amp;"_additional", Sheet5!$A$1:$Z$1, 0)
)</f>
        <v>28.3</v>
      </c>
      <c r="Q98">
        <f t="shared" ref="Q98:Q125" si="19">O98+(K98*P98)</f>
        <v>20.5</v>
      </c>
      <c r="R98">
        <f t="shared" si="16"/>
        <v>53.5</v>
      </c>
      <c r="S98">
        <f t="shared" si="17"/>
        <v>-36.700000000000003</v>
      </c>
    </row>
    <row r="99" spans="1:19" x14ac:dyDescent="0.45">
      <c r="A99" t="s">
        <v>360</v>
      </c>
      <c r="B99" t="str">
        <f>_xlfn.XLOOKUP(A99,Sheet1!B:B,Sheet1!A:A)</f>
        <v>1091117326925</v>
      </c>
      <c r="C99" cm="1">
        <f t="array" ref="C99">SUMPRODUCT((Sheet2!$A$2:$A$1000=Sheet6!A99)*Sheet2!$C$2:$C$1000*IFERROR(VLOOKUP(Sheet2!$B$2:$B$1000,Sheet3!$A:$B,2,FALSE),0))/1000</f>
        <v>0.5</v>
      </c>
      <c r="D99">
        <f t="shared" si="12"/>
        <v>0.5</v>
      </c>
      <c r="E99" t="str">
        <f>VLOOKUP(A99,Sheet1!B:C,2,FALSE)</f>
        <v>0.74</v>
      </c>
      <c r="F99">
        <f t="shared" si="13"/>
        <v>1</v>
      </c>
      <c r="G99" t="str">
        <f>VLOOKUP(Sheet4!B99,Sheet4!B:C,2,FALSE)</f>
        <v>b</v>
      </c>
      <c r="H99">
        <f>VLOOKUP(A99,Sheet1!B:D,3,FALSE)</f>
        <v>121003</v>
      </c>
      <c r="I99" t="str">
        <f>VLOOKUP(A99,Sheet1!B:H,7,FALSE)</f>
        <v>90.2</v>
      </c>
      <c r="J99">
        <f t="shared" si="18"/>
        <v>1</v>
      </c>
      <c r="K99">
        <f t="shared" si="14"/>
        <v>0</v>
      </c>
      <c r="L99">
        <f>INDEX(Sheet5!$A$2:$T$2,MATCH("fwd_"&amp;LOWER(G99)&amp;"_fixed",Sheet5!$A$1:$T$1,0))</f>
        <v>33</v>
      </c>
      <c r="M99">
        <f>INDEX(Sheet5!$A$2:$Z$2,MATCH("fwd_"&amp;LOWER(G99)&amp;"_additional", Sheet5!$A$1:$Z$1, 0)
)</f>
        <v>28.3</v>
      </c>
      <c r="N99">
        <f t="shared" si="15"/>
        <v>33</v>
      </c>
      <c r="O99">
        <f>INDEX(
Sheet5!$A$2:$Z$2,
MATCH("rto_"&amp;LOWER(G99)&amp;"_fixed", Sheet5!$A$1:$Z$1, 0)
)</f>
        <v>20.5</v>
      </c>
      <c r="P99">
        <f>INDEX(
Sheet5!$A$2:$Z$2,
MATCH("rto_"&amp;LOWER(G99)&amp;"_additional", Sheet5!$A$1:$Z$1, 0)
)</f>
        <v>28.3</v>
      </c>
      <c r="Q99">
        <f t="shared" si="19"/>
        <v>20.5</v>
      </c>
      <c r="R99">
        <f t="shared" si="16"/>
        <v>53.5</v>
      </c>
      <c r="S99">
        <f t="shared" si="17"/>
        <v>-36.700000000000003</v>
      </c>
    </row>
    <row r="100" spans="1:19" x14ac:dyDescent="0.45">
      <c r="A100" t="s">
        <v>364</v>
      </c>
      <c r="B100" t="str">
        <f>_xlfn.XLOOKUP(A100,Sheet1!B:B,Sheet1!A:A)</f>
        <v>1091117327474</v>
      </c>
      <c r="C100" cm="1">
        <f t="array" ref="C100">SUMPRODUCT((Sheet2!$A$2:$A$1000=Sheet6!A100)*Sheet2!$C$2:$C$1000*IFERROR(VLOOKUP(Sheet2!$B$2:$B$1000,Sheet3!$A:$B,2,FALSE),0))/1000</f>
        <v>0.76500000000000001</v>
      </c>
      <c r="D100">
        <f t="shared" si="12"/>
        <v>1</v>
      </c>
      <c r="E100" t="str">
        <f>VLOOKUP(A100,Sheet1!B:C,2,FALSE)</f>
        <v>4.13</v>
      </c>
      <c r="F100">
        <f t="shared" si="13"/>
        <v>4.5</v>
      </c>
      <c r="G100" t="str">
        <f>VLOOKUP(Sheet4!B100,Sheet4!B:C,2,FALSE)</f>
        <v>b</v>
      </c>
      <c r="H100">
        <f>VLOOKUP(A100,Sheet1!B:D,3,FALSE)</f>
        <v>121003</v>
      </c>
      <c r="I100" t="str">
        <f>VLOOKUP(A100,Sheet1!B:H,7,FALSE)</f>
        <v>403.8</v>
      </c>
      <c r="J100">
        <f t="shared" si="18"/>
        <v>2</v>
      </c>
      <c r="K100">
        <f t="shared" si="14"/>
        <v>1</v>
      </c>
      <c r="L100">
        <f>INDEX(Sheet5!$A$2:$T$2,MATCH("fwd_"&amp;LOWER(G100)&amp;"_fixed",Sheet5!$A$1:$T$1,0))</f>
        <v>33</v>
      </c>
      <c r="M100">
        <f>INDEX(Sheet5!$A$2:$Z$2,MATCH("fwd_"&amp;LOWER(G100)&amp;"_additional", Sheet5!$A$1:$Z$1, 0)
)</f>
        <v>28.3</v>
      </c>
      <c r="N100">
        <f t="shared" si="15"/>
        <v>61.3</v>
      </c>
      <c r="O100">
        <f>INDEX(
Sheet5!$A$2:$Z$2,
MATCH("rto_"&amp;LOWER(G100)&amp;"_fixed", Sheet5!$A$1:$Z$1, 0)
)</f>
        <v>20.5</v>
      </c>
      <c r="P100">
        <f>INDEX(
Sheet5!$A$2:$Z$2,
MATCH("rto_"&amp;LOWER(G100)&amp;"_additional", Sheet5!$A$1:$Z$1, 0)
)</f>
        <v>28.3</v>
      </c>
      <c r="Q100">
        <f t="shared" si="19"/>
        <v>48.8</v>
      </c>
      <c r="R100">
        <f t="shared" si="16"/>
        <v>110.1</v>
      </c>
      <c r="S100">
        <f t="shared" si="17"/>
        <v>-293.70000000000005</v>
      </c>
    </row>
    <row r="101" spans="1:19" x14ac:dyDescent="0.45">
      <c r="A101" t="s">
        <v>369</v>
      </c>
      <c r="B101" t="str">
        <f>_xlfn.XLOOKUP(A101,Sheet1!B:B,Sheet1!A:A)</f>
        <v>1091117333100</v>
      </c>
      <c r="C101" cm="1">
        <f t="array" ref="C101">SUMPRODUCT((Sheet2!$A$2:$A$1000=Sheet6!A101)*Sheet2!$C$2:$C$1000*IFERROR(VLOOKUP(Sheet2!$B$2:$B$1000,Sheet3!$A:$B,2,FALSE),0))/1000</f>
        <v>0.5</v>
      </c>
      <c r="D101">
        <f t="shared" si="12"/>
        <v>0.5</v>
      </c>
      <c r="E101" t="str">
        <f>VLOOKUP(A101,Sheet1!B:C,2,FALSE)</f>
        <v>0.73</v>
      </c>
      <c r="F101">
        <f t="shared" si="13"/>
        <v>1</v>
      </c>
      <c r="G101" t="str">
        <f>VLOOKUP(Sheet4!B101,Sheet4!B:C,2,FALSE)</f>
        <v>b</v>
      </c>
      <c r="H101">
        <f>VLOOKUP(A101,Sheet1!B:D,3,FALSE)</f>
        <v>121003</v>
      </c>
      <c r="I101" t="str">
        <f>VLOOKUP(A101,Sheet1!B:H,7,FALSE)</f>
        <v>90.2</v>
      </c>
      <c r="J101">
        <f t="shared" si="18"/>
        <v>1</v>
      </c>
      <c r="K101">
        <f t="shared" si="14"/>
        <v>0</v>
      </c>
      <c r="L101">
        <f>INDEX(Sheet5!$A$2:$T$2,MATCH("fwd_"&amp;LOWER(G101)&amp;"_fixed",Sheet5!$A$1:$T$1,0))</f>
        <v>33</v>
      </c>
      <c r="M101">
        <f>INDEX(Sheet5!$A$2:$Z$2,MATCH("fwd_"&amp;LOWER(G101)&amp;"_additional", Sheet5!$A$1:$Z$1, 0)
)</f>
        <v>28.3</v>
      </c>
      <c r="N101">
        <f t="shared" si="15"/>
        <v>33</v>
      </c>
      <c r="O101">
        <f>INDEX(
Sheet5!$A$2:$Z$2,
MATCH("rto_"&amp;LOWER(G101)&amp;"_fixed", Sheet5!$A$1:$Z$1, 0)
)</f>
        <v>20.5</v>
      </c>
      <c r="P101">
        <f>INDEX(
Sheet5!$A$2:$Z$2,
MATCH("rto_"&amp;LOWER(G101)&amp;"_additional", Sheet5!$A$1:$Z$1, 0)
)</f>
        <v>28.3</v>
      </c>
      <c r="Q101">
        <f t="shared" si="19"/>
        <v>20.5</v>
      </c>
      <c r="R101">
        <f t="shared" si="16"/>
        <v>53.5</v>
      </c>
      <c r="S101">
        <f t="shared" si="17"/>
        <v>-36.700000000000003</v>
      </c>
    </row>
    <row r="102" spans="1:19" x14ac:dyDescent="0.45">
      <c r="A102" t="s">
        <v>373</v>
      </c>
      <c r="B102" t="str">
        <f>_xlfn.XLOOKUP(A102,Sheet1!B:B,Sheet1!A:A)</f>
        <v>1091117333251</v>
      </c>
      <c r="C102" cm="1">
        <f t="array" ref="C102">SUMPRODUCT((Sheet2!$A$2:$A$1000=Sheet6!A102)*Sheet2!$C$2:$C$1000*IFERROR(VLOOKUP(Sheet2!$B$2:$B$1000,Sheet3!$A:$B,2,FALSE),0))/1000</f>
        <v>0.83</v>
      </c>
      <c r="D102">
        <f t="shared" si="12"/>
        <v>1</v>
      </c>
      <c r="E102" t="str">
        <f>VLOOKUP(A102,Sheet1!B:C,2,FALSE)</f>
        <v>1.04</v>
      </c>
      <c r="F102">
        <f t="shared" si="13"/>
        <v>1.5</v>
      </c>
      <c r="G102" t="str">
        <f>VLOOKUP(Sheet4!B102,Sheet4!B:C,2,FALSE)</f>
        <v>b</v>
      </c>
      <c r="H102">
        <f>VLOOKUP(A102,Sheet1!B:D,3,FALSE)</f>
        <v>121003</v>
      </c>
      <c r="I102" t="str">
        <f>VLOOKUP(A102,Sheet1!B:H,7,FALSE)</f>
        <v>135</v>
      </c>
      <c r="J102">
        <f t="shared" si="18"/>
        <v>2</v>
      </c>
      <c r="K102">
        <f t="shared" si="14"/>
        <v>1</v>
      </c>
      <c r="L102">
        <f>INDEX(Sheet5!$A$2:$T$2,MATCH("fwd_"&amp;LOWER(G102)&amp;"_fixed",Sheet5!$A$1:$T$1,0))</f>
        <v>33</v>
      </c>
      <c r="M102">
        <f>INDEX(Sheet5!$A$2:$Z$2,MATCH("fwd_"&amp;LOWER(G102)&amp;"_additional", Sheet5!$A$1:$Z$1, 0)
)</f>
        <v>28.3</v>
      </c>
      <c r="N102">
        <f t="shared" si="15"/>
        <v>61.3</v>
      </c>
      <c r="O102">
        <f>INDEX(
Sheet5!$A$2:$Z$2,
MATCH("rto_"&amp;LOWER(G102)&amp;"_fixed", Sheet5!$A$1:$Z$1, 0)
)</f>
        <v>20.5</v>
      </c>
      <c r="P102">
        <f>INDEX(
Sheet5!$A$2:$Z$2,
MATCH("rto_"&amp;LOWER(G102)&amp;"_additional", Sheet5!$A$1:$Z$1, 0)
)</f>
        <v>28.3</v>
      </c>
      <c r="Q102">
        <f t="shared" si="19"/>
        <v>48.8</v>
      </c>
      <c r="R102">
        <f t="shared" si="16"/>
        <v>110.1</v>
      </c>
      <c r="S102">
        <f t="shared" si="17"/>
        <v>-24.900000000000006</v>
      </c>
    </row>
    <row r="103" spans="1:19" x14ac:dyDescent="0.45">
      <c r="A103" t="s">
        <v>377</v>
      </c>
      <c r="B103" t="str">
        <f>_xlfn.XLOOKUP(A103,Sheet1!B:B,Sheet1!A:A)</f>
        <v>1091117436346</v>
      </c>
      <c r="C103" cm="1">
        <f t="array" ref="C103">SUMPRODUCT((Sheet2!$A$2:$A$1000=Sheet6!A103)*Sheet2!$C$2:$C$1000*IFERROR(VLOOKUP(Sheet2!$B$2:$B$1000,Sheet3!$A:$B,2,FALSE),0))/1000</f>
        <v>0.5</v>
      </c>
      <c r="D103">
        <f t="shared" si="12"/>
        <v>0.5</v>
      </c>
      <c r="E103" t="str">
        <f>VLOOKUP(A103,Sheet1!B:C,2,FALSE)</f>
        <v>0.7</v>
      </c>
      <c r="F103">
        <f t="shared" si="13"/>
        <v>1</v>
      </c>
      <c r="G103" t="str">
        <f>VLOOKUP(Sheet4!B103,Sheet4!B:C,2,FALSE)</f>
        <v>b</v>
      </c>
      <c r="H103">
        <f>VLOOKUP(A103,Sheet1!B:D,3,FALSE)</f>
        <v>121003</v>
      </c>
      <c r="I103" t="str">
        <f>VLOOKUP(A103,Sheet1!B:H,7,FALSE)</f>
        <v>90.2</v>
      </c>
      <c r="J103">
        <f t="shared" si="18"/>
        <v>1</v>
      </c>
      <c r="K103">
        <f t="shared" si="14"/>
        <v>0</v>
      </c>
      <c r="L103">
        <f>INDEX(Sheet5!$A$2:$T$2,MATCH("fwd_"&amp;LOWER(G103)&amp;"_fixed",Sheet5!$A$1:$T$1,0))</f>
        <v>33</v>
      </c>
      <c r="M103">
        <f>INDEX(Sheet5!$A$2:$Z$2,MATCH("fwd_"&amp;LOWER(G103)&amp;"_additional", Sheet5!$A$1:$Z$1, 0)
)</f>
        <v>28.3</v>
      </c>
      <c r="N103">
        <f t="shared" si="15"/>
        <v>33</v>
      </c>
      <c r="O103">
        <f>INDEX(
Sheet5!$A$2:$Z$2,
MATCH("rto_"&amp;LOWER(G103)&amp;"_fixed", Sheet5!$A$1:$Z$1, 0)
)</f>
        <v>20.5</v>
      </c>
      <c r="P103">
        <f>INDEX(
Sheet5!$A$2:$Z$2,
MATCH("rto_"&amp;LOWER(G103)&amp;"_additional", Sheet5!$A$1:$Z$1, 0)
)</f>
        <v>28.3</v>
      </c>
      <c r="Q103">
        <f t="shared" si="19"/>
        <v>20.5</v>
      </c>
      <c r="R103">
        <f t="shared" si="16"/>
        <v>53.5</v>
      </c>
      <c r="S103">
        <f t="shared" si="17"/>
        <v>-36.700000000000003</v>
      </c>
    </row>
    <row r="104" spans="1:19" x14ac:dyDescent="0.45">
      <c r="A104" t="s">
        <v>379</v>
      </c>
      <c r="B104" t="str">
        <f>_xlfn.XLOOKUP(A104,Sheet1!B:B,Sheet1!A:A)</f>
        <v>1091117436652</v>
      </c>
      <c r="C104" cm="1">
        <f t="array" ref="C104">SUMPRODUCT((Sheet2!$A$2:$A$1000=Sheet6!A104)*Sheet2!$C$2:$C$1000*IFERROR(VLOOKUP(Sheet2!$B$2:$B$1000,Sheet3!$A:$B,2,FALSE),0))/1000</f>
        <v>0.5</v>
      </c>
      <c r="D104">
        <f t="shared" si="12"/>
        <v>0.5</v>
      </c>
      <c r="E104" t="str">
        <f>VLOOKUP(A104,Sheet1!B:C,2,FALSE)</f>
        <v>0.72</v>
      </c>
      <c r="F104">
        <f t="shared" si="13"/>
        <v>1</v>
      </c>
      <c r="G104" t="str">
        <f>VLOOKUP(Sheet4!B104,Sheet4!B:C,2,FALSE)</f>
        <v>e</v>
      </c>
      <c r="H104">
        <f>VLOOKUP(A104,Sheet1!B:D,3,FALSE)</f>
        <v>121003</v>
      </c>
      <c r="I104" t="str">
        <f>VLOOKUP(A104,Sheet1!B:H,7,FALSE)</f>
        <v>61.3</v>
      </c>
      <c r="J104">
        <f t="shared" si="18"/>
        <v>1</v>
      </c>
      <c r="K104">
        <f t="shared" si="14"/>
        <v>0</v>
      </c>
      <c r="L104">
        <f>INDEX(Sheet5!$A$2:$T$2,MATCH("fwd_"&amp;LOWER(G104)&amp;"_fixed",Sheet5!$A$1:$T$1,0))</f>
        <v>56.6</v>
      </c>
      <c r="M104">
        <f>INDEX(Sheet5!$A$2:$Z$2,MATCH("fwd_"&amp;LOWER(G104)&amp;"_additional", Sheet5!$A$1:$Z$1, 0)
)</f>
        <v>55.5</v>
      </c>
      <c r="N104">
        <f t="shared" si="15"/>
        <v>56.6</v>
      </c>
      <c r="O104">
        <f>INDEX(
Sheet5!$A$2:$Z$2,
MATCH("rto_"&amp;LOWER(G104)&amp;"_fixed", Sheet5!$A$1:$Z$1, 0)
)</f>
        <v>50.7</v>
      </c>
      <c r="P104">
        <f>INDEX(
Sheet5!$A$2:$Z$2,
MATCH("rto_"&amp;LOWER(G104)&amp;"_additional", Sheet5!$A$1:$Z$1, 0)
)</f>
        <v>55.5</v>
      </c>
      <c r="Q104">
        <f t="shared" si="19"/>
        <v>50.7</v>
      </c>
      <c r="R104">
        <f t="shared" si="16"/>
        <v>107.30000000000001</v>
      </c>
      <c r="S104">
        <f t="shared" si="17"/>
        <v>46.000000000000014</v>
      </c>
    </row>
    <row r="105" spans="1:19" x14ac:dyDescent="0.45">
      <c r="A105" t="s">
        <v>382</v>
      </c>
      <c r="B105" t="str">
        <f>_xlfn.XLOOKUP(A105,Sheet1!B:B,Sheet1!A:A)</f>
        <v>1091117437035</v>
      </c>
      <c r="C105" cm="1">
        <f t="array" ref="C105">SUMPRODUCT((Sheet2!$A$2:$A$1000=Sheet6!A105)*Sheet2!$C$2:$C$1000*IFERROR(VLOOKUP(Sheet2!$B$2:$B$1000,Sheet3!$A:$B,2,FALSE),0))/1000</f>
        <v>0.5</v>
      </c>
      <c r="D105">
        <f t="shared" si="12"/>
        <v>0.5</v>
      </c>
      <c r="E105" t="str">
        <f>VLOOKUP(A105,Sheet1!B:C,2,FALSE)</f>
        <v>0.72</v>
      </c>
      <c r="F105">
        <f t="shared" si="13"/>
        <v>1</v>
      </c>
      <c r="G105" t="str">
        <f>VLOOKUP(Sheet4!B105,Sheet4!B:C,2,FALSE)</f>
        <v>b</v>
      </c>
      <c r="H105">
        <f>VLOOKUP(A105,Sheet1!B:D,3,FALSE)</f>
        <v>121003</v>
      </c>
      <c r="I105" t="str">
        <f>VLOOKUP(A105,Sheet1!B:H,7,FALSE)</f>
        <v>90.2</v>
      </c>
      <c r="J105">
        <f t="shared" si="18"/>
        <v>1</v>
      </c>
      <c r="K105">
        <f t="shared" si="14"/>
        <v>0</v>
      </c>
      <c r="L105">
        <f>INDEX(Sheet5!$A$2:$T$2,MATCH("fwd_"&amp;LOWER(G105)&amp;"_fixed",Sheet5!$A$1:$T$1,0))</f>
        <v>33</v>
      </c>
      <c r="M105">
        <f>INDEX(Sheet5!$A$2:$Z$2,MATCH("fwd_"&amp;LOWER(G105)&amp;"_additional", Sheet5!$A$1:$Z$1, 0)
)</f>
        <v>28.3</v>
      </c>
      <c r="N105">
        <f t="shared" si="15"/>
        <v>33</v>
      </c>
      <c r="O105">
        <f>INDEX(
Sheet5!$A$2:$Z$2,
MATCH("rto_"&amp;LOWER(G105)&amp;"_fixed", Sheet5!$A$1:$Z$1, 0)
)</f>
        <v>20.5</v>
      </c>
      <c r="P105">
        <f>INDEX(
Sheet5!$A$2:$Z$2,
MATCH("rto_"&amp;LOWER(G105)&amp;"_additional", Sheet5!$A$1:$Z$1, 0)
)</f>
        <v>28.3</v>
      </c>
      <c r="Q105">
        <f t="shared" si="19"/>
        <v>20.5</v>
      </c>
      <c r="R105">
        <f t="shared" si="16"/>
        <v>53.5</v>
      </c>
      <c r="S105">
        <f t="shared" si="17"/>
        <v>-36.700000000000003</v>
      </c>
    </row>
    <row r="106" spans="1:19" x14ac:dyDescent="0.45">
      <c r="A106" t="s">
        <v>385</v>
      </c>
      <c r="B106" t="str">
        <f>_xlfn.XLOOKUP(A106,Sheet1!B:B,Sheet1!A:A)</f>
        <v>1091117437293</v>
      </c>
      <c r="C106" cm="1">
        <f t="array" ref="C106">SUMPRODUCT((Sheet2!$A$2:$A$1000=Sheet6!A106)*Sheet2!$C$2:$C$1000*IFERROR(VLOOKUP(Sheet2!$B$2:$B$1000,Sheet3!$A:$B,2,FALSE),0))/1000</f>
        <v>0.22</v>
      </c>
      <c r="D106">
        <f t="shared" si="12"/>
        <v>0.5</v>
      </c>
      <c r="E106" t="str">
        <f>VLOOKUP(A106,Sheet1!B:C,2,FALSE)</f>
        <v>1.63</v>
      </c>
      <c r="F106">
        <f t="shared" si="13"/>
        <v>2</v>
      </c>
      <c r="G106" t="str">
        <f>VLOOKUP(Sheet4!B106,Sheet4!B:C,2,FALSE)</f>
        <v>b</v>
      </c>
      <c r="H106">
        <f>VLOOKUP(A106,Sheet1!B:D,3,FALSE)</f>
        <v>121003</v>
      </c>
      <c r="I106" t="str">
        <f>VLOOKUP(A106,Sheet1!B:H,7,FALSE)</f>
        <v>179.8</v>
      </c>
      <c r="J106">
        <f t="shared" si="18"/>
        <v>1</v>
      </c>
      <c r="K106">
        <f t="shared" si="14"/>
        <v>0</v>
      </c>
      <c r="L106">
        <f>INDEX(Sheet5!$A$2:$T$2,MATCH("fwd_"&amp;LOWER(G106)&amp;"_fixed",Sheet5!$A$1:$T$1,0))</f>
        <v>33</v>
      </c>
      <c r="M106">
        <f>INDEX(Sheet5!$A$2:$Z$2,MATCH("fwd_"&amp;LOWER(G106)&amp;"_additional", Sheet5!$A$1:$Z$1, 0)
)</f>
        <v>28.3</v>
      </c>
      <c r="N106">
        <f t="shared" si="15"/>
        <v>33</v>
      </c>
      <c r="O106">
        <f>INDEX(
Sheet5!$A$2:$Z$2,
MATCH("rto_"&amp;LOWER(G106)&amp;"_fixed", Sheet5!$A$1:$Z$1, 0)
)</f>
        <v>20.5</v>
      </c>
      <c r="P106">
        <f>INDEX(
Sheet5!$A$2:$Z$2,
MATCH("rto_"&amp;LOWER(G106)&amp;"_additional", Sheet5!$A$1:$Z$1, 0)
)</f>
        <v>28.3</v>
      </c>
      <c r="Q106">
        <f t="shared" si="19"/>
        <v>20.5</v>
      </c>
      <c r="R106">
        <f t="shared" si="16"/>
        <v>53.5</v>
      </c>
      <c r="S106">
        <f t="shared" si="17"/>
        <v>-126.30000000000001</v>
      </c>
    </row>
    <row r="107" spans="1:19" x14ac:dyDescent="0.45">
      <c r="A107" t="s">
        <v>389</v>
      </c>
      <c r="B107" t="str">
        <f>_xlfn.XLOOKUP(A107,Sheet1!B:B,Sheet1!A:A)</f>
        <v>1091117437864</v>
      </c>
      <c r="C107" cm="1">
        <f t="array" ref="C107">SUMPRODUCT((Sheet2!$A$2:$A$1000=Sheet6!A107)*Sheet2!$C$2:$C$1000*IFERROR(VLOOKUP(Sheet2!$B$2:$B$1000,Sheet3!$A:$B,2,FALSE),0))/1000</f>
        <v>0.6</v>
      </c>
      <c r="D107">
        <f t="shared" si="12"/>
        <v>1</v>
      </c>
      <c r="E107" t="str">
        <f>VLOOKUP(A107,Sheet1!B:C,2,FALSE)</f>
        <v>2.47</v>
      </c>
      <c r="F107">
        <f t="shared" si="13"/>
        <v>2.5</v>
      </c>
      <c r="G107" t="str">
        <f>VLOOKUP(Sheet4!B107,Sheet4!B:C,2,FALSE)</f>
        <v>b</v>
      </c>
      <c r="H107">
        <f>VLOOKUP(A107,Sheet1!B:D,3,FALSE)</f>
        <v>121003</v>
      </c>
      <c r="I107" t="str">
        <f>VLOOKUP(A107,Sheet1!B:H,7,FALSE)</f>
        <v>224.6</v>
      </c>
      <c r="J107">
        <f t="shared" si="18"/>
        <v>2</v>
      </c>
      <c r="K107">
        <f t="shared" si="14"/>
        <v>1</v>
      </c>
      <c r="L107">
        <f>INDEX(Sheet5!$A$2:$T$2,MATCH("fwd_"&amp;LOWER(G107)&amp;"_fixed",Sheet5!$A$1:$T$1,0))</f>
        <v>33</v>
      </c>
      <c r="M107">
        <f>INDEX(Sheet5!$A$2:$Z$2,MATCH("fwd_"&amp;LOWER(G107)&amp;"_additional", Sheet5!$A$1:$Z$1, 0)
)</f>
        <v>28.3</v>
      </c>
      <c r="N107">
        <f t="shared" si="15"/>
        <v>61.3</v>
      </c>
      <c r="O107">
        <f>INDEX(
Sheet5!$A$2:$Z$2,
MATCH("rto_"&amp;LOWER(G107)&amp;"_fixed", Sheet5!$A$1:$Z$1, 0)
)</f>
        <v>20.5</v>
      </c>
      <c r="P107">
        <f>INDEX(
Sheet5!$A$2:$Z$2,
MATCH("rto_"&amp;LOWER(G107)&amp;"_additional", Sheet5!$A$1:$Z$1, 0)
)</f>
        <v>28.3</v>
      </c>
      <c r="Q107">
        <f t="shared" si="19"/>
        <v>48.8</v>
      </c>
      <c r="R107">
        <f t="shared" si="16"/>
        <v>110.1</v>
      </c>
      <c r="S107">
        <f t="shared" si="17"/>
        <v>-114.5</v>
      </c>
    </row>
    <row r="108" spans="1:19" x14ac:dyDescent="0.45">
      <c r="A108" t="s">
        <v>393</v>
      </c>
      <c r="B108" t="str">
        <f>_xlfn.XLOOKUP(A108,Sheet1!B:B,Sheet1!A:A)</f>
        <v>1091117437890</v>
      </c>
      <c r="C108" cm="1">
        <f t="array" ref="C108">SUMPRODUCT((Sheet2!$A$2:$A$1000=Sheet6!A108)*Sheet2!$C$2:$C$1000*IFERROR(VLOOKUP(Sheet2!$B$2:$B$1000,Sheet3!$A:$B,2,FALSE),0))/1000</f>
        <v>0.5</v>
      </c>
      <c r="D108">
        <f t="shared" si="12"/>
        <v>0.5</v>
      </c>
      <c r="E108" t="str">
        <f>VLOOKUP(A108,Sheet1!B:C,2,FALSE)</f>
        <v>0.67</v>
      </c>
      <c r="F108">
        <f t="shared" si="13"/>
        <v>1</v>
      </c>
      <c r="G108" t="str">
        <f>VLOOKUP(Sheet4!B108,Sheet4!B:C,2,FALSE)</f>
        <v>b</v>
      </c>
      <c r="H108">
        <f>VLOOKUP(A108,Sheet1!B:D,3,FALSE)</f>
        <v>121003</v>
      </c>
      <c r="I108" t="str">
        <f>VLOOKUP(A108,Sheet1!B:H,7,FALSE)</f>
        <v>90.2</v>
      </c>
      <c r="J108">
        <f t="shared" si="18"/>
        <v>1</v>
      </c>
      <c r="K108">
        <f t="shared" si="14"/>
        <v>0</v>
      </c>
      <c r="L108">
        <f>INDEX(Sheet5!$A$2:$T$2,MATCH("fwd_"&amp;LOWER(G108)&amp;"_fixed",Sheet5!$A$1:$T$1,0))</f>
        <v>33</v>
      </c>
      <c r="M108">
        <f>INDEX(Sheet5!$A$2:$Z$2,MATCH("fwd_"&amp;LOWER(G108)&amp;"_additional", Sheet5!$A$1:$Z$1, 0)
)</f>
        <v>28.3</v>
      </c>
      <c r="N108">
        <f t="shared" si="15"/>
        <v>33</v>
      </c>
      <c r="O108">
        <f>INDEX(
Sheet5!$A$2:$Z$2,
MATCH("rto_"&amp;LOWER(G108)&amp;"_fixed", Sheet5!$A$1:$Z$1, 0)
)</f>
        <v>20.5</v>
      </c>
      <c r="P108">
        <f>INDEX(
Sheet5!$A$2:$Z$2,
MATCH("rto_"&amp;LOWER(G108)&amp;"_additional", Sheet5!$A$1:$Z$1, 0)
)</f>
        <v>28.3</v>
      </c>
      <c r="Q108">
        <f t="shared" si="19"/>
        <v>20.5</v>
      </c>
      <c r="R108">
        <f t="shared" si="16"/>
        <v>53.5</v>
      </c>
      <c r="S108">
        <f t="shared" si="17"/>
        <v>-36.700000000000003</v>
      </c>
    </row>
    <row r="109" spans="1:19" x14ac:dyDescent="0.45">
      <c r="A109" t="s">
        <v>395</v>
      </c>
      <c r="B109" t="str">
        <f>_xlfn.XLOOKUP(A109,Sheet1!B:B,Sheet1!A:A)</f>
        <v>1091117438074</v>
      </c>
      <c r="C109" cm="1">
        <f t="array" ref="C109">SUMPRODUCT((Sheet2!$A$2:$A$1000=Sheet6!A109)*Sheet2!$C$2:$C$1000*IFERROR(VLOOKUP(Sheet2!$B$2:$B$1000,Sheet3!$A:$B,2,FALSE),0))/1000</f>
        <v>0.5</v>
      </c>
      <c r="D109">
        <f t="shared" si="12"/>
        <v>0.5</v>
      </c>
      <c r="E109" t="str">
        <f>VLOOKUP(A109,Sheet1!B:C,2,FALSE)</f>
        <v>0.72</v>
      </c>
      <c r="F109">
        <f t="shared" si="13"/>
        <v>1</v>
      </c>
      <c r="G109" t="str">
        <f>VLOOKUP(Sheet4!B109,Sheet4!B:C,2,FALSE)</f>
        <v>b</v>
      </c>
      <c r="H109">
        <f>VLOOKUP(A109,Sheet1!B:D,3,FALSE)</f>
        <v>121003</v>
      </c>
      <c r="I109" t="str">
        <f>VLOOKUP(A109,Sheet1!B:H,7,FALSE)</f>
        <v>90.2</v>
      </c>
      <c r="J109">
        <f t="shared" si="18"/>
        <v>1</v>
      </c>
      <c r="K109">
        <f t="shared" si="14"/>
        <v>0</v>
      </c>
      <c r="L109">
        <f>INDEX(Sheet5!$A$2:$T$2,MATCH("fwd_"&amp;LOWER(G109)&amp;"_fixed",Sheet5!$A$1:$T$1,0))</f>
        <v>33</v>
      </c>
      <c r="M109">
        <f>INDEX(Sheet5!$A$2:$Z$2,MATCH("fwd_"&amp;LOWER(G109)&amp;"_additional", Sheet5!$A$1:$Z$1, 0)
)</f>
        <v>28.3</v>
      </c>
      <c r="N109">
        <f t="shared" si="15"/>
        <v>33</v>
      </c>
      <c r="O109">
        <f>INDEX(
Sheet5!$A$2:$Z$2,
MATCH("rto_"&amp;LOWER(G109)&amp;"_fixed", Sheet5!$A$1:$Z$1, 0)
)</f>
        <v>20.5</v>
      </c>
      <c r="P109">
        <f>INDEX(
Sheet5!$A$2:$Z$2,
MATCH("rto_"&amp;LOWER(G109)&amp;"_additional", Sheet5!$A$1:$Z$1, 0)
)</f>
        <v>28.3</v>
      </c>
      <c r="Q109">
        <f t="shared" si="19"/>
        <v>20.5</v>
      </c>
      <c r="R109">
        <f t="shared" si="16"/>
        <v>53.5</v>
      </c>
      <c r="S109">
        <f t="shared" si="17"/>
        <v>-36.700000000000003</v>
      </c>
    </row>
    <row r="110" spans="1:19" x14ac:dyDescent="0.45">
      <c r="A110" t="s">
        <v>398</v>
      </c>
      <c r="B110" t="str">
        <f>_xlfn.XLOOKUP(A110,Sheet1!B:B,Sheet1!A:A)</f>
        <v>1091117611501</v>
      </c>
      <c r="C110" cm="1">
        <f t="array" ref="C110">SUMPRODUCT((Sheet2!$A$2:$A$1000=Sheet6!A110)*Sheet2!$C$2:$C$1000*IFERROR(VLOOKUP(Sheet2!$B$2:$B$1000,Sheet3!$A:$B,2,FALSE),0))/1000</f>
        <v>0.5</v>
      </c>
      <c r="D110">
        <f t="shared" si="12"/>
        <v>0.5</v>
      </c>
      <c r="E110" t="str">
        <f>VLOOKUP(A110,Sheet1!B:C,2,FALSE)</f>
        <v>0.72</v>
      </c>
      <c r="F110">
        <f t="shared" si="13"/>
        <v>1</v>
      </c>
      <c r="G110" t="str">
        <f>VLOOKUP(Sheet4!B110,Sheet4!B:C,2,FALSE)</f>
        <v>b</v>
      </c>
      <c r="H110">
        <f>VLOOKUP(A110,Sheet1!B:D,3,FALSE)</f>
        <v>121003</v>
      </c>
      <c r="I110" t="str">
        <f>VLOOKUP(A110,Sheet1!B:H,7,FALSE)</f>
        <v>90.2</v>
      </c>
      <c r="J110">
        <f t="shared" si="18"/>
        <v>1</v>
      </c>
      <c r="K110">
        <f t="shared" si="14"/>
        <v>0</v>
      </c>
      <c r="L110">
        <f>INDEX(Sheet5!$A$2:$T$2,MATCH("fwd_"&amp;LOWER(G110)&amp;"_fixed",Sheet5!$A$1:$T$1,0))</f>
        <v>33</v>
      </c>
      <c r="M110">
        <f>INDEX(Sheet5!$A$2:$Z$2,MATCH("fwd_"&amp;LOWER(G110)&amp;"_additional", Sheet5!$A$1:$Z$1, 0)
)</f>
        <v>28.3</v>
      </c>
      <c r="N110">
        <f t="shared" si="15"/>
        <v>33</v>
      </c>
      <c r="O110">
        <f>INDEX(
Sheet5!$A$2:$Z$2,
MATCH("rto_"&amp;LOWER(G110)&amp;"_fixed", Sheet5!$A$1:$Z$1, 0)
)</f>
        <v>20.5</v>
      </c>
      <c r="P110">
        <f>INDEX(
Sheet5!$A$2:$Z$2,
MATCH("rto_"&amp;LOWER(G110)&amp;"_additional", Sheet5!$A$1:$Z$1, 0)
)</f>
        <v>28.3</v>
      </c>
      <c r="Q110">
        <f t="shared" si="19"/>
        <v>20.5</v>
      </c>
      <c r="R110">
        <f t="shared" si="16"/>
        <v>53.5</v>
      </c>
      <c r="S110">
        <f t="shared" si="17"/>
        <v>-36.700000000000003</v>
      </c>
    </row>
    <row r="111" spans="1:19" x14ac:dyDescent="0.45">
      <c r="A111" t="s">
        <v>401</v>
      </c>
      <c r="B111" t="str">
        <f>_xlfn.XLOOKUP(A111,Sheet1!B:B,Sheet1!A:A)</f>
        <v>1091117613962</v>
      </c>
      <c r="C111" cm="1">
        <f t="array" ref="C111">SUMPRODUCT((Sheet2!$A$2:$A$1000=Sheet6!A111)*Sheet2!$C$2:$C$1000*IFERROR(VLOOKUP(Sheet2!$B$2:$B$1000,Sheet3!$A:$B,2,FALSE),0))/1000</f>
        <v>0.5</v>
      </c>
      <c r="D111">
        <f t="shared" si="12"/>
        <v>0.5</v>
      </c>
      <c r="E111" t="str">
        <f>VLOOKUP(A111,Sheet1!B:C,2,FALSE)</f>
        <v>0.68</v>
      </c>
      <c r="F111">
        <f t="shared" si="13"/>
        <v>1</v>
      </c>
      <c r="G111" t="str">
        <f>VLOOKUP(Sheet4!B111,Sheet4!B:C,2,FALSE)</f>
        <v>b</v>
      </c>
      <c r="H111">
        <f>VLOOKUP(A111,Sheet1!B:D,3,FALSE)</f>
        <v>121003</v>
      </c>
      <c r="I111" t="str">
        <f>VLOOKUP(A111,Sheet1!B:H,7,FALSE)</f>
        <v>90.2</v>
      </c>
      <c r="J111">
        <f t="shared" si="18"/>
        <v>1</v>
      </c>
      <c r="K111">
        <f t="shared" si="14"/>
        <v>0</v>
      </c>
      <c r="L111">
        <f>INDEX(Sheet5!$A$2:$T$2,MATCH("fwd_"&amp;LOWER(G111)&amp;"_fixed",Sheet5!$A$1:$T$1,0))</f>
        <v>33</v>
      </c>
      <c r="M111">
        <f>INDEX(Sheet5!$A$2:$Z$2,MATCH("fwd_"&amp;LOWER(G111)&amp;"_additional", Sheet5!$A$1:$Z$1, 0)
)</f>
        <v>28.3</v>
      </c>
      <c r="N111">
        <f t="shared" si="15"/>
        <v>33</v>
      </c>
      <c r="O111">
        <f>INDEX(
Sheet5!$A$2:$Z$2,
MATCH("rto_"&amp;LOWER(G111)&amp;"_fixed", Sheet5!$A$1:$Z$1, 0)
)</f>
        <v>20.5</v>
      </c>
      <c r="P111">
        <f>INDEX(
Sheet5!$A$2:$Z$2,
MATCH("rto_"&amp;LOWER(G111)&amp;"_additional", Sheet5!$A$1:$Z$1, 0)
)</f>
        <v>28.3</v>
      </c>
      <c r="Q111">
        <f t="shared" si="19"/>
        <v>20.5</v>
      </c>
      <c r="R111">
        <f t="shared" si="16"/>
        <v>53.5</v>
      </c>
      <c r="S111">
        <f t="shared" si="17"/>
        <v>-36.700000000000003</v>
      </c>
    </row>
    <row r="112" spans="1:19" x14ac:dyDescent="0.45">
      <c r="A112" t="s">
        <v>404</v>
      </c>
      <c r="B112" t="str">
        <f>_xlfn.XLOOKUP(A112,Sheet1!B:B,Sheet1!A:A)</f>
        <v>1091117803511</v>
      </c>
      <c r="C112" cm="1">
        <f t="array" ref="C112">SUMPRODUCT((Sheet2!$A$2:$A$1000=Sheet6!A112)*Sheet2!$C$2:$C$1000*IFERROR(VLOOKUP(Sheet2!$B$2:$B$1000,Sheet3!$A:$B,2,FALSE),0))/1000</f>
        <v>0.36099999999999999</v>
      </c>
      <c r="D112">
        <f t="shared" si="12"/>
        <v>0.5</v>
      </c>
      <c r="E112" t="str">
        <f>VLOOKUP(A112,Sheet1!B:C,2,FALSE)</f>
        <v>0.82</v>
      </c>
      <c r="F112">
        <f t="shared" si="13"/>
        <v>1</v>
      </c>
      <c r="G112" t="str">
        <f>VLOOKUP(Sheet4!B112,Sheet4!B:C,2,FALSE)</f>
        <v>b</v>
      </c>
      <c r="H112">
        <f>VLOOKUP(A112,Sheet1!B:D,3,FALSE)</f>
        <v>121003</v>
      </c>
      <c r="I112" t="str">
        <f>VLOOKUP(A112,Sheet1!B:H,7,FALSE)</f>
        <v>90.2</v>
      </c>
      <c r="J112">
        <f t="shared" si="18"/>
        <v>1</v>
      </c>
      <c r="K112">
        <f t="shared" si="14"/>
        <v>0</v>
      </c>
      <c r="L112">
        <f>INDEX(Sheet5!$A$2:$T$2,MATCH("fwd_"&amp;LOWER(G112)&amp;"_fixed",Sheet5!$A$1:$T$1,0))</f>
        <v>33</v>
      </c>
      <c r="M112">
        <f>INDEX(Sheet5!$A$2:$Z$2,MATCH("fwd_"&amp;LOWER(G112)&amp;"_additional", Sheet5!$A$1:$Z$1, 0)
)</f>
        <v>28.3</v>
      </c>
      <c r="N112">
        <f t="shared" si="15"/>
        <v>33</v>
      </c>
      <c r="O112">
        <f>INDEX(
Sheet5!$A$2:$Z$2,
MATCH("rto_"&amp;LOWER(G112)&amp;"_fixed", Sheet5!$A$1:$Z$1, 0)
)</f>
        <v>20.5</v>
      </c>
      <c r="P112">
        <f>INDEX(
Sheet5!$A$2:$Z$2,
MATCH("rto_"&amp;LOWER(G112)&amp;"_additional", Sheet5!$A$1:$Z$1, 0)
)</f>
        <v>28.3</v>
      </c>
      <c r="Q112">
        <f t="shared" si="19"/>
        <v>20.5</v>
      </c>
      <c r="R112">
        <f t="shared" si="16"/>
        <v>53.5</v>
      </c>
      <c r="S112">
        <f t="shared" si="17"/>
        <v>-36.700000000000003</v>
      </c>
    </row>
    <row r="113" spans="1:19" x14ac:dyDescent="0.45">
      <c r="A113" t="s">
        <v>408</v>
      </c>
      <c r="B113" t="str">
        <f>_xlfn.XLOOKUP(A113,Sheet1!B:B,Sheet1!A:A)</f>
        <v>1091117804314</v>
      </c>
      <c r="C113" cm="1">
        <f t="array" ref="C113">SUMPRODUCT((Sheet2!$A$2:$A$1000=Sheet6!A113)*Sheet2!$C$2:$C$1000*IFERROR(VLOOKUP(Sheet2!$B$2:$B$1000,Sheet3!$A:$B,2,FALSE),0))/1000</f>
        <v>0.5</v>
      </c>
      <c r="D113">
        <f t="shared" si="12"/>
        <v>0.5</v>
      </c>
      <c r="E113" t="str">
        <f>VLOOKUP(A113,Sheet1!B:C,2,FALSE)</f>
        <v>0.66</v>
      </c>
      <c r="F113">
        <f t="shared" si="13"/>
        <v>1</v>
      </c>
      <c r="G113" t="str">
        <f>VLOOKUP(Sheet4!B113,Sheet4!B:C,2,FALSE)</f>
        <v>b</v>
      </c>
      <c r="H113">
        <f>VLOOKUP(A113,Sheet1!B:D,3,FALSE)</f>
        <v>121003</v>
      </c>
      <c r="I113" t="str">
        <f>VLOOKUP(A113,Sheet1!B:H,7,FALSE)</f>
        <v>90.2</v>
      </c>
      <c r="J113">
        <f t="shared" si="18"/>
        <v>1</v>
      </c>
      <c r="K113">
        <f t="shared" si="14"/>
        <v>0</v>
      </c>
      <c r="L113">
        <f>INDEX(Sheet5!$A$2:$T$2,MATCH("fwd_"&amp;LOWER(G113)&amp;"_fixed",Sheet5!$A$1:$T$1,0))</f>
        <v>33</v>
      </c>
      <c r="M113">
        <f>INDEX(Sheet5!$A$2:$Z$2,MATCH("fwd_"&amp;LOWER(G113)&amp;"_additional", Sheet5!$A$1:$Z$1, 0)
)</f>
        <v>28.3</v>
      </c>
      <c r="N113">
        <f t="shared" si="15"/>
        <v>33</v>
      </c>
      <c r="O113">
        <f>INDEX(
Sheet5!$A$2:$Z$2,
MATCH("rto_"&amp;LOWER(G113)&amp;"_fixed", Sheet5!$A$1:$Z$1, 0)
)</f>
        <v>20.5</v>
      </c>
      <c r="P113">
        <f>INDEX(
Sheet5!$A$2:$Z$2,
MATCH("rto_"&amp;LOWER(G113)&amp;"_additional", Sheet5!$A$1:$Z$1, 0)
)</f>
        <v>28.3</v>
      </c>
      <c r="Q113">
        <f t="shared" si="19"/>
        <v>20.5</v>
      </c>
      <c r="R113">
        <f t="shared" si="16"/>
        <v>53.5</v>
      </c>
      <c r="S113">
        <f t="shared" si="17"/>
        <v>-36.700000000000003</v>
      </c>
    </row>
    <row r="114" spans="1:19" x14ac:dyDescent="0.45">
      <c r="A114" t="s">
        <v>412</v>
      </c>
      <c r="B114" t="str">
        <f>_xlfn.XLOOKUP(A114,Sheet1!B:B,Sheet1!A:A)</f>
        <v>1091117805390</v>
      </c>
      <c r="C114" cm="1">
        <f t="array" ref="C114">SUMPRODUCT((Sheet2!$A$2:$A$1000=Sheet6!A114)*Sheet2!$C$2:$C$1000*IFERROR(VLOOKUP(Sheet2!$B$2:$B$1000,Sheet3!$A:$B,2,FALSE),0))/1000</f>
        <v>0.5</v>
      </c>
      <c r="D114">
        <f t="shared" si="12"/>
        <v>0.5</v>
      </c>
      <c r="E114" t="str">
        <f>VLOOKUP(A114,Sheet1!B:C,2,FALSE)</f>
        <v>0.68</v>
      </c>
      <c r="F114">
        <f t="shared" si="13"/>
        <v>1</v>
      </c>
      <c r="G114" t="str">
        <f>VLOOKUP(Sheet4!B114,Sheet4!B:C,2,FALSE)</f>
        <v>b</v>
      </c>
      <c r="H114">
        <f>VLOOKUP(A114,Sheet1!B:D,3,FALSE)</f>
        <v>121003</v>
      </c>
      <c r="I114" t="str">
        <f>VLOOKUP(A114,Sheet1!B:H,7,FALSE)</f>
        <v>90.2</v>
      </c>
      <c r="J114">
        <f t="shared" si="18"/>
        <v>1</v>
      </c>
      <c r="K114">
        <f t="shared" si="14"/>
        <v>0</v>
      </c>
      <c r="L114">
        <f>INDEX(Sheet5!$A$2:$T$2,MATCH("fwd_"&amp;LOWER(G114)&amp;"_fixed",Sheet5!$A$1:$T$1,0))</f>
        <v>33</v>
      </c>
      <c r="M114">
        <f>INDEX(Sheet5!$A$2:$Z$2,MATCH("fwd_"&amp;LOWER(G114)&amp;"_additional", Sheet5!$A$1:$Z$1, 0)
)</f>
        <v>28.3</v>
      </c>
      <c r="N114">
        <f t="shared" si="15"/>
        <v>33</v>
      </c>
      <c r="O114">
        <f>INDEX(
Sheet5!$A$2:$Z$2,
MATCH("rto_"&amp;LOWER(G114)&amp;"_fixed", Sheet5!$A$1:$Z$1, 0)
)</f>
        <v>20.5</v>
      </c>
      <c r="P114">
        <f>INDEX(
Sheet5!$A$2:$Z$2,
MATCH("rto_"&amp;LOWER(G114)&amp;"_additional", Sheet5!$A$1:$Z$1, 0)
)</f>
        <v>28.3</v>
      </c>
      <c r="Q114">
        <f t="shared" si="19"/>
        <v>20.5</v>
      </c>
      <c r="R114">
        <f t="shared" si="16"/>
        <v>53.5</v>
      </c>
      <c r="S114">
        <f t="shared" si="17"/>
        <v>-36.700000000000003</v>
      </c>
    </row>
    <row r="115" spans="1:19" x14ac:dyDescent="0.45">
      <c r="A115" t="s">
        <v>415</v>
      </c>
      <c r="B115" t="str">
        <f>_xlfn.XLOOKUP(A115,Sheet1!B:B,Sheet1!A:A)</f>
        <v>1091117806263</v>
      </c>
      <c r="C115" cm="1">
        <f t="array" ref="C115">SUMPRODUCT((Sheet2!$A$2:$A$1000=Sheet6!A115)*Sheet2!$C$2:$C$1000*IFERROR(VLOOKUP(Sheet2!$B$2:$B$1000,Sheet3!$A:$B,2,FALSE),0))/1000</f>
        <v>0.98599999999999999</v>
      </c>
      <c r="D115">
        <f t="shared" si="12"/>
        <v>1</v>
      </c>
      <c r="E115" t="str">
        <f>VLOOKUP(A115,Sheet1!B:C,2,FALSE)</f>
        <v>1.86</v>
      </c>
      <c r="F115">
        <f t="shared" si="13"/>
        <v>2</v>
      </c>
      <c r="G115" t="str">
        <f>VLOOKUP(Sheet4!B115,Sheet4!B:C,2,FALSE)</f>
        <v>b</v>
      </c>
      <c r="H115">
        <f>VLOOKUP(A115,Sheet1!B:D,3,FALSE)</f>
        <v>121003</v>
      </c>
      <c r="I115" t="str">
        <f>VLOOKUP(A115,Sheet1!B:H,7,FALSE)</f>
        <v>179.8</v>
      </c>
      <c r="J115">
        <f t="shared" si="18"/>
        <v>2</v>
      </c>
      <c r="K115">
        <f t="shared" si="14"/>
        <v>1</v>
      </c>
      <c r="L115">
        <f>INDEX(Sheet5!$A$2:$T$2,MATCH("fwd_"&amp;LOWER(G115)&amp;"_fixed",Sheet5!$A$1:$T$1,0))</f>
        <v>33</v>
      </c>
      <c r="M115">
        <f>INDEX(Sheet5!$A$2:$Z$2,MATCH("fwd_"&amp;LOWER(G115)&amp;"_additional", Sheet5!$A$1:$Z$1, 0)
)</f>
        <v>28.3</v>
      </c>
      <c r="N115">
        <f t="shared" si="15"/>
        <v>61.3</v>
      </c>
      <c r="O115">
        <f>INDEX(
Sheet5!$A$2:$Z$2,
MATCH("rto_"&amp;LOWER(G115)&amp;"_fixed", Sheet5!$A$1:$Z$1, 0)
)</f>
        <v>20.5</v>
      </c>
      <c r="P115">
        <f>INDEX(
Sheet5!$A$2:$Z$2,
MATCH("rto_"&amp;LOWER(G115)&amp;"_additional", Sheet5!$A$1:$Z$1, 0)
)</f>
        <v>28.3</v>
      </c>
      <c r="Q115">
        <f t="shared" si="19"/>
        <v>48.8</v>
      </c>
      <c r="R115">
        <f t="shared" si="16"/>
        <v>110.1</v>
      </c>
      <c r="S115">
        <f t="shared" si="17"/>
        <v>-69.700000000000017</v>
      </c>
    </row>
    <row r="116" spans="1:19" x14ac:dyDescent="0.45">
      <c r="A116" t="s">
        <v>418</v>
      </c>
      <c r="B116" t="str">
        <f>_xlfn.XLOOKUP(A116,Sheet1!B:B,Sheet1!A:A)</f>
        <v>1091117807140</v>
      </c>
      <c r="C116" cm="1">
        <f t="array" ref="C116">SUMPRODUCT((Sheet2!$A$2:$A$1000=Sheet6!A116)*Sheet2!$C$2:$C$1000*IFERROR(VLOOKUP(Sheet2!$B$2:$B$1000,Sheet3!$A:$B,2,FALSE),0))/1000</f>
        <v>0.60699999999999998</v>
      </c>
      <c r="D116">
        <f t="shared" si="12"/>
        <v>1</v>
      </c>
      <c r="E116" t="str">
        <f>VLOOKUP(A116,Sheet1!B:C,2,FALSE)</f>
        <v>2.27</v>
      </c>
      <c r="F116">
        <f t="shared" si="13"/>
        <v>2.5</v>
      </c>
      <c r="G116" t="str">
        <f>VLOOKUP(Sheet4!B116,Sheet4!B:C,2,FALSE)</f>
        <v>b</v>
      </c>
      <c r="H116">
        <f>VLOOKUP(A116,Sheet1!B:D,3,FALSE)</f>
        <v>121003</v>
      </c>
      <c r="I116" t="str">
        <f>VLOOKUP(A116,Sheet1!B:H,7,FALSE)</f>
        <v>224.6</v>
      </c>
      <c r="J116">
        <f t="shared" si="18"/>
        <v>2</v>
      </c>
      <c r="K116">
        <f t="shared" si="14"/>
        <v>1</v>
      </c>
      <c r="L116">
        <f>INDEX(Sheet5!$A$2:$T$2,MATCH("fwd_"&amp;LOWER(G116)&amp;"_fixed",Sheet5!$A$1:$T$1,0))</f>
        <v>33</v>
      </c>
      <c r="M116">
        <f>INDEX(Sheet5!$A$2:$Z$2,MATCH("fwd_"&amp;LOWER(G116)&amp;"_additional", Sheet5!$A$1:$Z$1, 0)
)</f>
        <v>28.3</v>
      </c>
      <c r="N116">
        <f t="shared" si="15"/>
        <v>61.3</v>
      </c>
      <c r="O116">
        <f>INDEX(
Sheet5!$A$2:$Z$2,
MATCH("rto_"&amp;LOWER(G116)&amp;"_fixed", Sheet5!$A$1:$Z$1, 0)
)</f>
        <v>20.5</v>
      </c>
      <c r="P116">
        <f>INDEX(
Sheet5!$A$2:$Z$2,
MATCH("rto_"&amp;LOWER(G116)&amp;"_additional", Sheet5!$A$1:$Z$1, 0)
)</f>
        <v>28.3</v>
      </c>
      <c r="Q116">
        <f t="shared" si="19"/>
        <v>48.8</v>
      </c>
      <c r="R116">
        <f t="shared" si="16"/>
        <v>110.1</v>
      </c>
      <c r="S116">
        <f t="shared" si="17"/>
        <v>-114.5</v>
      </c>
    </row>
    <row r="117" spans="1:19" x14ac:dyDescent="0.45">
      <c r="A117" t="s">
        <v>422</v>
      </c>
      <c r="B117" t="str">
        <f>_xlfn.XLOOKUP(A117,Sheet1!B:B,Sheet1!A:A)</f>
        <v>1091117904860</v>
      </c>
      <c r="C117" cm="1">
        <f t="array" ref="C117">SUMPRODUCT((Sheet2!$A$2:$A$1000=Sheet6!A117)*Sheet2!$C$2:$C$1000*IFERROR(VLOOKUP(Sheet2!$B$2:$B$1000,Sheet3!$A:$B,2,FALSE),0))/1000</f>
        <v>0.48799999999999999</v>
      </c>
      <c r="D117">
        <f t="shared" si="12"/>
        <v>0.5</v>
      </c>
      <c r="E117" t="str">
        <f>VLOOKUP(A117,Sheet1!B:C,2,FALSE)</f>
        <v>0.68</v>
      </c>
      <c r="F117">
        <f t="shared" si="13"/>
        <v>1</v>
      </c>
      <c r="G117" t="str">
        <f>VLOOKUP(Sheet4!B117,Sheet4!B:C,2,FALSE)</f>
        <v>b</v>
      </c>
      <c r="H117">
        <f>VLOOKUP(A117,Sheet1!B:D,3,FALSE)</f>
        <v>121003</v>
      </c>
      <c r="I117" t="str">
        <f>VLOOKUP(A117,Sheet1!B:H,7,FALSE)</f>
        <v>90.2</v>
      </c>
      <c r="J117">
        <f t="shared" si="18"/>
        <v>1</v>
      </c>
      <c r="K117">
        <f t="shared" si="14"/>
        <v>0</v>
      </c>
      <c r="L117">
        <f>INDEX(Sheet5!$A$2:$T$2,MATCH("fwd_"&amp;LOWER(G117)&amp;"_fixed",Sheet5!$A$1:$T$1,0))</f>
        <v>33</v>
      </c>
      <c r="M117">
        <f>INDEX(Sheet5!$A$2:$Z$2,MATCH("fwd_"&amp;LOWER(G117)&amp;"_additional", Sheet5!$A$1:$Z$1, 0)
)</f>
        <v>28.3</v>
      </c>
      <c r="N117">
        <f t="shared" si="15"/>
        <v>33</v>
      </c>
      <c r="O117">
        <f>INDEX(
Sheet5!$A$2:$Z$2,
MATCH("rto_"&amp;LOWER(G117)&amp;"_fixed", Sheet5!$A$1:$Z$1, 0)
)</f>
        <v>20.5</v>
      </c>
      <c r="P117">
        <f>INDEX(
Sheet5!$A$2:$Z$2,
MATCH("rto_"&amp;LOWER(G117)&amp;"_additional", Sheet5!$A$1:$Z$1, 0)
)</f>
        <v>28.3</v>
      </c>
      <c r="Q117">
        <f t="shared" si="19"/>
        <v>20.5</v>
      </c>
      <c r="R117">
        <f t="shared" si="16"/>
        <v>53.5</v>
      </c>
      <c r="S117">
        <f t="shared" si="17"/>
        <v>-36.700000000000003</v>
      </c>
    </row>
    <row r="118" spans="1:19" x14ac:dyDescent="0.45">
      <c r="A118" t="s">
        <v>425</v>
      </c>
      <c r="B118" t="str">
        <f>_xlfn.XLOOKUP(A118,Sheet1!B:B,Sheet1!A:A)</f>
        <v>1091117905022</v>
      </c>
      <c r="C118" cm="1">
        <f t="array" ref="C118">SUMPRODUCT((Sheet2!$A$2:$A$1000=Sheet6!A118)*Sheet2!$C$2:$C$1000*IFERROR(VLOOKUP(Sheet2!$B$2:$B$1000,Sheet3!$A:$B,2,FALSE),0))/1000</f>
        <v>0.5</v>
      </c>
      <c r="D118">
        <f t="shared" si="12"/>
        <v>0.5</v>
      </c>
      <c r="E118" t="str">
        <f>VLOOKUP(A118,Sheet1!B:C,2,FALSE)</f>
        <v>0.72</v>
      </c>
      <c r="F118">
        <f t="shared" si="13"/>
        <v>1</v>
      </c>
      <c r="G118" t="str">
        <f>VLOOKUP(Sheet4!B118,Sheet4!B:C,2,FALSE)</f>
        <v>b</v>
      </c>
      <c r="H118">
        <f>VLOOKUP(A118,Sheet1!B:D,3,FALSE)</f>
        <v>121003</v>
      </c>
      <c r="I118" t="str">
        <f>VLOOKUP(A118,Sheet1!B:H,7,FALSE)</f>
        <v>90.2</v>
      </c>
      <c r="J118">
        <f t="shared" si="18"/>
        <v>1</v>
      </c>
      <c r="K118">
        <f t="shared" si="14"/>
        <v>0</v>
      </c>
      <c r="L118">
        <f>INDEX(Sheet5!$A$2:$T$2,MATCH("fwd_"&amp;LOWER(G118)&amp;"_fixed",Sheet5!$A$1:$T$1,0))</f>
        <v>33</v>
      </c>
      <c r="M118">
        <f>INDEX(Sheet5!$A$2:$Z$2,MATCH("fwd_"&amp;LOWER(G118)&amp;"_additional", Sheet5!$A$1:$Z$1, 0)
)</f>
        <v>28.3</v>
      </c>
      <c r="N118">
        <f t="shared" si="15"/>
        <v>33</v>
      </c>
      <c r="O118">
        <f>INDEX(
Sheet5!$A$2:$Z$2,
MATCH("rto_"&amp;LOWER(G118)&amp;"_fixed", Sheet5!$A$1:$Z$1, 0)
)</f>
        <v>20.5</v>
      </c>
      <c r="P118">
        <f>INDEX(
Sheet5!$A$2:$Z$2,
MATCH("rto_"&amp;LOWER(G118)&amp;"_additional", Sheet5!$A$1:$Z$1, 0)
)</f>
        <v>28.3</v>
      </c>
      <c r="Q118">
        <f t="shared" si="19"/>
        <v>20.5</v>
      </c>
      <c r="R118">
        <f t="shared" si="16"/>
        <v>53.5</v>
      </c>
      <c r="S118">
        <f t="shared" si="17"/>
        <v>-36.700000000000003</v>
      </c>
    </row>
    <row r="119" spans="1:19" x14ac:dyDescent="0.45">
      <c r="A119" t="s">
        <v>427</v>
      </c>
      <c r="B119" t="str">
        <f>_xlfn.XLOOKUP(A119,Sheet1!B:B,Sheet1!A:A)</f>
        <v>1091117958163</v>
      </c>
      <c r="C119" cm="1">
        <f t="array" ref="C119">SUMPRODUCT((Sheet2!$A$2:$A$1000=Sheet6!A119)*Sheet2!$C$2:$C$1000*IFERROR(VLOOKUP(Sheet2!$B$2:$B$1000,Sheet3!$A:$B,2,FALSE),0))/1000</f>
        <v>0.94499999999999995</v>
      </c>
      <c r="D119">
        <f t="shared" si="12"/>
        <v>1</v>
      </c>
      <c r="E119" t="str">
        <f>VLOOKUP(A119,Sheet1!B:C,2,FALSE)</f>
        <v>1.1</v>
      </c>
      <c r="F119">
        <f t="shared" si="13"/>
        <v>1.5</v>
      </c>
      <c r="G119" t="str">
        <f>VLOOKUP(Sheet4!B119,Sheet4!B:C,2,FALSE)</f>
        <v>b</v>
      </c>
      <c r="H119">
        <f>VLOOKUP(A119,Sheet1!B:D,3,FALSE)</f>
        <v>121003</v>
      </c>
      <c r="I119" t="str">
        <f>VLOOKUP(A119,Sheet1!B:H,7,FALSE)</f>
        <v>135</v>
      </c>
      <c r="J119">
        <f t="shared" si="18"/>
        <v>2</v>
      </c>
      <c r="K119">
        <f t="shared" si="14"/>
        <v>1</v>
      </c>
      <c r="L119">
        <f>INDEX(Sheet5!$A$2:$T$2,MATCH("fwd_"&amp;LOWER(G119)&amp;"_fixed",Sheet5!$A$1:$T$1,0))</f>
        <v>33</v>
      </c>
      <c r="M119">
        <f>INDEX(Sheet5!$A$2:$Z$2,MATCH("fwd_"&amp;LOWER(G119)&amp;"_additional", Sheet5!$A$1:$Z$1, 0)
)</f>
        <v>28.3</v>
      </c>
      <c r="N119">
        <f t="shared" si="15"/>
        <v>61.3</v>
      </c>
      <c r="O119">
        <f>INDEX(
Sheet5!$A$2:$Z$2,
MATCH("rto_"&amp;LOWER(G119)&amp;"_fixed", Sheet5!$A$1:$Z$1, 0)
)</f>
        <v>20.5</v>
      </c>
      <c r="P119">
        <f>INDEX(
Sheet5!$A$2:$Z$2,
MATCH("rto_"&amp;LOWER(G119)&amp;"_additional", Sheet5!$A$1:$Z$1, 0)
)</f>
        <v>28.3</v>
      </c>
      <c r="Q119">
        <f t="shared" si="19"/>
        <v>48.8</v>
      </c>
      <c r="R119">
        <f t="shared" si="16"/>
        <v>110.1</v>
      </c>
      <c r="S119">
        <f t="shared" si="17"/>
        <v>-24.900000000000006</v>
      </c>
    </row>
    <row r="120" spans="1:19" x14ac:dyDescent="0.45">
      <c r="A120" t="s">
        <v>429</v>
      </c>
      <c r="B120" t="str">
        <f>_xlfn.XLOOKUP(A120,Sheet1!B:B,Sheet1!A:A)</f>
        <v>1091118442390</v>
      </c>
      <c r="C120" cm="1">
        <f t="array" ref="C120">SUMPRODUCT((Sheet2!$A$2:$A$1000=Sheet6!A120)*Sheet2!$C$2:$C$1000*IFERROR(VLOOKUP(Sheet2!$B$2:$B$1000,Sheet3!$A:$B,2,FALSE),0))/1000</f>
        <v>0.5</v>
      </c>
      <c r="D120">
        <f t="shared" si="12"/>
        <v>0.5</v>
      </c>
      <c r="E120" t="str">
        <f>VLOOKUP(A120,Sheet1!B:C,2,FALSE)</f>
        <v>0.67</v>
      </c>
      <c r="F120">
        <f t="shared" si="13"/>
        <v>1</v>
      </c>
      <c r="G120" t="str">
        <f>VLOOKUP(Sheet4!B120,Sheet4!B:C,2,FALSE)</f>
        <v>b</v>
      </c>
      <c r="H120">
        <f>VLOOKUP(A120,Sheet1!B:D,3,FALSE)</f>
        <v>121003</v>
      </c>
      <c r="I120" t="str">
        <f>VLOOKUP(A120,Sheet1!B:H,7,FALSE)</f>
        <v>90.2</v>
      </c>
      <c r="J120">
        <f t="shared" si="18"/>
        <v>1</v>
      </c>
      <c r="K120">
        <f t="shared" si="14"/>
        <v>0</v>
      </c>
      <c r="L120">
        <f>INDEX(Sheet5!$A$2:$T$2,MATCH("fwd_"&amp;LOWER(G120)&amp;"_fixed",Sheet5!$A$1:$T$1,0))</f>
        <v>33</v>
      </c>
      <c r="M120">
        <f>INDEX(Sheet5!$A$2:$Z$2,MATCH("fwd_"&amp;LOWER(G120)&amp;"_additional", Sheet5!$A$1:$Z$1, 0)
)</f>
        <v>28.3</v>
      </c>
      <c r="N120">
        <f t="shared" si="15"/>
        <v>33</v>
      </c>
      <c r="O120">
        <f>INDEX(
Sheet5!$A$2:$Z$2,
MATCH("rto_"&amp;LOWER(G120)&amp;"_fixed", Sheet5!$A$1:$Z$1, 0)
)</f>
        <v>20.5</v>
      </c>
      <c r="P120">
        <f>INDEX(
Sheet5!$A$2:$Z$2,
MATCH("rto_"&amp;LOWER(G120)&amp;"_additional", Sheet5!$A$1:$Z$1, 0)
)</f>
        <v>28.3</v>
      </c>
      <c r="Q120">
        <f t="shared" si="19"/>
        <v>20.5</v>
      </c>
      <c r="R120">
        <f t="shared" si="16"/>
        <v>53.5</v>
      </c>
      <c r="S120">
        <f t="shared" si="17"/>
        <v>-36.700000000000003</v>
      </c>
    </row>
    <row r="121" spans="1:19" x14ac:dyDescent="0.45">
      <c r="A121" t="s">
        <v>431</v>
      </c>
      <c r="B121" t="str">
        <f>_xlfn.XLOOKUP(A121,Sheet1!B:B,Sheet1!A:A)</f>
        <v>1091118551656</v>
      </c>
      <c r="C121" cm="1">
        <f t="array" ref="C121">SUMPRODUCT((Sheet2!$A$2:$A$1000=Sheet6!A121)*Sheet2!$C$2:$C$1000*IFERROR(VLOOKUP(Sheet2!$B$2:$B$1000,Sheet3!$A:$B,2,FALSE),0))/1000</f>
        <v>0.5</v>
      </c>
      <c r="D121">
        <f t="shared" si="12"/>
        <v>0.5</v>
      </c>
      <c r="E121" t="str">
        <f>VLOOKUP(A121,Sheet1!B:C,2,FALSE)</f>
        <v>0.73</v>
      </c>
      <c r="F121">
        <f t="shared" si="13"/>
        <v>1</v>
      </c>
      <c r="G121" t="str">
        <f>VLOOKUP(Sheet4!B121,Sheet4!B:C,2,FALSE)</f>
        <v>b</v>
      </c>
      <c r="H121">
        <f>VLOOKUP(A121,Sheet1!B:D,3,FALSE)</f>
        <v>121003</v>
      </c>
      <c r="I121" t="str">
        <f>VLOOKUP(A121,Sheet1!B:H,7,FALSE)</f>
        <v>90.2</v>
      </c>
      <c r="J121">
        <f t="shared" si="18"/>
        <v>1</v>
      </c>
      <c r="K121">
        <f t="shared" si="14"/>
        <v>0</v>
      </c>
      <c r="L121">
        <f>INDEX(Sheet5!$A$2:$T$2,MATCH("fwd_"&amp;LOWER(G121)&amp;"_fixed",Sheet5!$A$1:$T$1,0))</f>
        <v>33</v>
      </c>
      <c r="M121">
        <f>INDEX(Sheet5!$A$2:$Z$2,MATCH("fwd_"&amp;LOWER(G121)&amp;"_additional", Sheet5!$A$1:$Z$1, 0)
)</f>
        <v>28.3</v>
      </c>
      <c r="N121">
        <f t="shared" si="15"/>
        <v>33</v>
      </c>
      <c r="O121">
        <f>INDEX(
Sheet5!$A$2:$Z$2,
MATCH("rto_"&amp;LOWER(G121)&amp;"_fixed", Sheet5!$A$1:$Z$1, 0)
)</f>
        <v>20.5</v>
      </c>
      <c r="P121">
        <f>INDEX(
Sheet5!$A$2:$Z$2,
MATCH("rto_"&amp;LOWER(G121)&amp;"_additional", Sheet5!$A$1:$Z$1, 0)
)</f>
        <v>28.3</v>
      </c>
      <c r="Q121">
        <f t="shared" si="19"/>
        <v>20.5</v>
      </c>
      <c r="R121">
        <f t="shared" si="16"/>
        <v>53.5</v>
      </c>
      <c r="S121">
        <f t="shared" si="17"/>
        <v>-36.700000000000003</v>
      </c>
    </row>
    <row r="122" spans="1:19" x14ac:dyDescent="0.45">
      <c r="A122" t="s">
        <v>434</v>
      </c>
      <c r="B122" t="str">
        <f>_xlfn.XLOOKUP(A122,Sheet1!B:B,Sheet1!A:A)</f>
        <v>1091117614452</v>
      </c>
      <c r="C122" cm="1">
        <f t="array" ref="C122">SUMPRODUCT((Sheet2!$A$2:$A$1000=Sheet6!A122)*Sheet2!$C$2:$C$1000*IFERROR(VLOOKUP(Sheet2!$B$2:$B$1000,Sheet3!$A:$B,2,FALSE),0))/1000</f>
        <v>0.60699999999999998</v>
      </c>
      <c r="D122">
        <f t="shared" si="12"/>
        <v>1</v>
      </c>
      <c r="E122" t="str">
        <f>VLOOKUP(A122,Sheet1!B:C,2,FALSE)</f>
        <v>0.5</v>
      </c>
      <c r="F122">
        <f t="shared" si="13"/>
        <v>0.5</v>
      </c>
      <c r="G122" t="str">
        <f>VLOOKUP(Sheet4!B122,Sheet4!B:C,2,FALSE)</f>
        <v>b</v>
      </c>
      <c r="H122">
        <f>VLOOKUP(A122,Sheet1!B:D,3,FALSE)</f>
        <v>121003</v>
      </c>
      <c r="I122" t="str">
        <f>VLOOKUP(A122,Sheet1!B:H,7,FALSE)</f>
        <v>86.7</v>
      </c>
      <c r="J122">
        <f t="shared" si="18"/>
        <v>2</v>
      </c>
      <c r="K122">
        <f t="shared" si="14"/>
        <v>1</v>
      </c>
      <c r="L122">
        <f>INDEX(Sheet5!$A$2:$T$2,MATCH("fwd_"&amp;LOWER(G122)&amp;"_fixed",Sheet5!$A$1:$T$1,0))</f>
        <v>33</v>
      </c>
      <c r="M122">
        <f>INDEX(Sheet5!$A$2:$Z$2,MATCH("fwd_"&amp;LOWER(G122)&amp;"_additional", Sheet5!$A$1:$Z$1, 0)
)</f>
        <v>28.3</v>
      </c>
      <c r="N122">
        <f t="shared" si="15"/>
        <v>61.3</v>
      </c>
      <c r="O122">
        <f>INDEX(
Sheet5!$A$2:$Z$2,
MATCH("rto_"&amp;LOWER(G122)&amp;"_fixed", Sheet5!$A$1:$Z$1, 0)
)</f>
        <v>20.5</v>
      </c>
      <c r="P122">
        <f>INDEX(
Sheet5!$A$2:$Z$2,
MATCH("rto_"&amp;LOWER(G122)&amp;"_additional", Sheet5!$A$1:$Z$1, 0)
)</f>
        <v>28.3</v>
      </c>
      <c r="Q122">
        <f t="shared" si="19"/>
        <v>48.8</v>
      </c>
      <c r="R122">
        <f t="shared" si="16"/>
        <v>110.1</v>
      </c>
      <c r="S122">
        <f t="shared" si="17"/>
        <v>23.399999999999991</v>
      </c>
    </row>
    <row r="123" spans="1:19" x14ac:dyDescent="0.45">
      <c r="A123" t="s">
        <v>437</v>
      </c>
      <c r="B123" t="str">
        <f>_xlfn.XLOOKUP(A123,Sheet1!B:B,Sheet1!A:A)</f>
        <v>1091120922803</v>
      </c>
      <c r="C123" cm="1">
        <f t="array" ref="C123">SUMPRODUCT((Sheet2!$A$2:$A$1000=Sheet6!A123)*Sheet2!$C$2:$C$1000*IFERROR(VLOOKUP(Sheet2!$B$2:$B$1000,Sheet3!$A:$B,2,FALSE),0))/1000</f>
        <v>0.51500000000000001</v>
      </c>
      <c r="D123">
        <f t="shared" si="12"/>
        <v>1</v>
      </c>
      <c r="E123" t="str">
        <f>VLOOKUP(A123,Sheet1!B:C,2,FALSE)</f>
        <v>0.5</v>
      </c>
      <c r="F123">
        <f t="shared" si="13"/>
        <v>0.5</v>
      </c>
      <c r="G123" t="str">
        <f>VLOOKUP(Sheet4!B123,Sheet4!B:C,2,FALSE)</f>
        <v>b</v>
      </c>
      <c r="H123">
        <f>VLOOKUP(A123,Sheet1!B:D,3,FALSE)</f>
        <v>121003</v>
      </c>
      <c r="I123" t="str">
        <f>VLOOKUP(A123,Sheet1!B:H,7,FALSE)</f>
        <v>45.4</v>
      </c>
      <c r="J123">
        <f t="shared" si="18"/>
        <v>2</v>
      </c>
      <c r="K123">
        <f t="shared" si="14"/>
        <v>1</v>
      </c>
      <c r="L123">
        <f>INDEX(Sheet5!$A$2:$T$2,MATCH("fwd_"&amp;LOWER(G123)&amp;"_fixed",Sheet5!$A$1:$T$1,0))</f>
        <v>33</v>
      </c>
      <c r="M123">
        <f>INDEX(Sheet5!$A$2:$Z$2,MATCH("fwd_"&amp;LOWER(G123)&amp;"_additional", Sheet5!$A$1:$Z$1, 0)
)</f>
        <v>28.3</v>
      </c>
      <c r="N123">
        <f t="shared" si="15"/>
        <v>61.3</v>
      </c>
      <c r="O123">
        <f>INDEX(
Sheet5!$A$2:$Z$2,
MATCH("rto_"&amp;LOWER(G123)&amp;"_fixed", Sheet5!$A$1:$Z$1, 0)
)</f>
        <v>20.5</v>
      </c>
      <c r="P123">
        <f>INDEX(
Sheet5!$A$2:$Z$2,
MATCH("rto_"&amp;LOWER(G123)&amp;"_additional", Sheet5!$A$1:$Z$1, 0)
)</f>
        <v>28.3</v>
      </c>
      <c r="Q123">
        <f t="shared" si="19"/>
        <v>48.8</v>
      </c>
      <c r="R123">
        <f t="shared" si="16"/>
        <v>110.1</v>
      </c>
      <c r="S123">
        <f t="shared" si="17"/>
        <v>64.699999999999989</v>
      </c>
    </row>
    <row r="124" spans="1:19" x14ac:dyDescent="0.45">
      <c r="A124" t="s">
        <v>440</v>
      </c>
      <c r="B124" t="str">
        <f>_xlfn.XLOOKUP(A124,Sheet1!B:B,Sheet1!A:A)</f>
        <v>1091121844806</v>
      </c>
      <c r="C124" cm="1">
        <f t="array" ref="C124">SUMPRODUCT((Sheet2!$A$2:$A$1000=Sheet6!A124)*Sheet2!$C$2:$C$1000*IFERROR(VLOOKUP(Sheet2!$B$2:$B$1000,Sheet3!$A:$B,2,FALSE),0))/1000</f>
        <v>0.68899999999999995</v>
      </c>
      <c r="D124">
        <f t="shared" si="12"/>
        <v>1</v>
      </c>
      <c r="E124" t="str">
        <f>VLOOKUP(A124,Sheet1!B:C,2,FALSE)</f>
        <v>0.5</v>
      </c>
      <c r="F124">
        <f t="shared" si="13"/>
        <v>0.5</v>
      </c>
      <c r="G124" t="str">
        <f>VLOOKUP(Sheet4!B124,Sheet4!B:C,2,FALSE)</f>
        <v>e</v>
      </c>
      <c r="H124">
        <f>VLOOKUP(A124,Sheet1!B:D,3,FALSE)</f>
        <v>121003</v>
      </c>
      <c r="I124" t="str">
        <f>VLOOKUP(A124,Sheet1!B:H,7,FALSE)</f>
        <v>33</v>
      </c>
      <c r="J124">
        <f t="shared" si="18"/>
        <v>2</v>
      </c>
      <c r="K124">
        <f t="shared" si="14"/>
        <v>1</v>
      </c>
      <c r="L124">
        <f>INDEX(Sheet5!$A$2:$T$2,MATCH("fwd_"&amp;LOWER(G124)&amp;"_fixed",Sheet5!$A$1:$T$1,0))</f>
        <v>56.6</v>
      </c>
      <c r="M124">
        <f>INDEX(Sheet5!$A$2:$Z$2,MATCH("fwd_"&amp;LOWER(G124)&amp;"_additional", Sheet5!$A$1:$Z$1, 0)
)</f>
        <v>55.5</v>
      </c>
      <c r="N124">
        <f t="shared" si="15"/>
        <v>112.1</v>
      </c>
      <c r="O124">
        <f>INDEX(
Sheet5!$A$2:$Z$2,
MATCH("rto_"&amp;LOWER(G124)&amp;"_fixed", Sheet5!$A$1:$Z$1, 0)
)</f>
        <v>50.7</v>
      </c>
      <c r="P124">
        <f>INDEX(
Sheet5!$A$2:$Z$2,
MATCH("rto_"&amp;LOWER(G124)&amp;"_additional", Sheet5!$A$1:$Z$1, 0)
)</f>
        <v>55.5</v>
      </c>
      <c r="Q124">
        <f t="shared" si="19"/>
        <v>106.2</v>
      </c>
      <c r="R124">
        <f t="shared" si="16"/>
        <v>218.3</v>
      </c>
      <c r="S124">
        <f t="shared" si="17"/>
        <v>185.3</v>
      </c>
    </row>
    <row r="125" spans="1:19" x14ac:dyDescent="0.45">
      <c r="A125" t="s">
        <v>442</v>
      </c>
      <c r="B125" t="str">
        <f>_xlfn.XLOOKUP(A125,Sheet1!B:B,Sheet1!A:A)</f>
        <v>1091121846136</v>
      </c>
      <c r="C125" cm="1">
        <f t="array" ref="C125">SUMPRODUCT((Sheet2!$A$2:$A$1000=Sheet6!A125)*Sheet2!$C$2:$C$1000*IFERROR(VLOOKUP(Sheet2!$B$2:$B$1000,Sheet3!$A:$B,2,FALSE),0))/1000</f>
        <v>0.75</v>
      </c>
      <c r="D125">
        <f t="shared" si="12"/>
        <v>1</v>
      </c>
      <c r="E125" t="str">
        <f>VLOOKUP(A125,Sheet1!B:C,2,FALSE)</f>
        <v>0.5</v>
      </c>
      <c r="F125">
        <f t="shared" si="13"/>
        <v>0.5</v>
      </c>
      <c r="G125" t="str">
        <f>VLOOKUP(Sheet4!B125,Sheet4!B:C,2,FALSE)</f>
        <v>b</v>
      </c>
      <c r="H125">
        <f>VLOOKUP(A125,Sheet1!B:D,3,FALSE)</f>
        <v>121003</v>
      </c>
      <c r="I125" t="str">
        <f>VLOOKUP(A125,Sheet1!B:H,7,FALSE)</f>
        <v>45.4</v>
      </c>
      <c r="J125">
        <f t="shared" si="18"/>
        <v>2</v>
      </c>
      <c r="K125">
        <f t="shared" si="14"/>
        <v>1</v>
      </c>
      <c r="L125">
        <f>INDEX(Sheet5!$A$2:$T$2,MATCH("fwd_"&amp;LOWER(G125)&amp;"_fixed",Sheet5!$A$1:$T$1,0))</f>
        <v>33</v>
      </c>
      <c r="M125">
        <f>INDEX(Sheet5!$A$2:$Z$2,MATCH("fwd_"&amp;LOWER(G125)&amp;"_additional", Sheet5!$A$1:$Z$1, 0)
)</f>
        <v>28.3</v>
      </c>
      <c r="N125">
        <f t="shared" si="15"/>
        <v>61.3</v>
      </c>
      <c r="O125">
        <f>INDEX(
Sheet5!$A$2:$Z$2,
MATCH("rto_"&amp;LOWER(G125)&amp;"_fixed", Sheet5!$A$1:$Z$1, 0)
)</f>
        <v>20.5</v>
      </c>
      <c r="P125">
        <f>INDEX(
Sheet5!$A$2:$Z$2,
MATCH("rto_"&amp;LOWER(G125)&amp;"_additional", Sheet5!$A$1:$Z$1, 0)
)</f>
        <v>28.3</v>
      </c>
      <c r="Q125">
        <f t="shared" si="19"/>
        <v>48.8</v>
      </c>
      <c r="R125">
        <f t="shared" si="16"/>
        <v>110.1</v>
      </c>
      <c r="S125">
        <f t="shared" si="17"/>
        <v>64.699999999999989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9568-8727-4879-B8C8-DEBB2A553935}">
  <dimension ref="A1:C4"/>
  <sheetViews>
    <sheetView workbookViewId="0">
      <selection activeCell="E10" sqref="E10"/>
    </sheetView>
  </sheetViews>
  <sheetFormatPr defaultRowHeight="14.25" x14ac:dyDescent="0.45"/>
  <cols>
    <col min="1" max="1" width="20.73046875" customWidth="1"/>
    <col min="2" max="2" width="11.46484375" customWidth="1"/>
    <col min="3" max="3" width="16.33203125" customWidth="1"/>
  </cols>
  <sheetData>
    <row r="1" spans="1:3" x14ac:dyDescent="0.45">
      <c r="A1" t="s">
        <v>502</v>
      </c>
      <c r="B1" t="s">
        <v>503</v>
      </c>
      <c r="C1" t="s">
        <v>504</v>
      </c>
    </row>
    <row r="2" spans="1:3" x14ac:dyDescent="0.45">
      <c r="A2" t="s">
        <v>505</v>
      </c>
      <c r="B2">
        <f>COUNTIF(Sheet6!S:S,0)</f>
        <v>1</v>
      </c>
      <c r="C2" cm="1">
        <f t="array" ref="C2">SUMPRODUCT((Sheet6!S2:S125=0)*(Sheet6!I2:I125))</f>
        <v>107.3</v>
      </c>
    </row>
    <row r="3" spans="1:3" x14ac:dyDescent="0.45">
      <c r="A3" t="s">
        <v>506</v>
      </c>
      <c r="B3">
        <f>COUNTIF(Sheet6!S:S,"&gt;0")</f>
        <v>75</v>
      </c>
      <c r="C3">
        <f>SUMIF(Sheet6!S:S,"&gt;0",Sheet6!S:S)</f>
        <v>4372.5</v>
      </c>
    </row>
    <row r="4" spans="1:3" x14ac:dyDescent="0.45">
      <c r="A4" t="s">
        <v>507</v>
      </c>
      <c r="B4">
        <f>COUNTIF(Sheet6!S:S,"&lt;0")</f>
        <v>48</v>
      </c>
      <c r="C4">
        <f>SUMIF(Sheet6!S:S,"&lt;0",Sheet6!S:S)</f>
        <v>-2093.1000000000008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Sheet1</vt:lpstr>
      <vt:lpstr>Sheet2</vt:lpstr>
      <vt:lpstr>Sheet3</vt:lpstr>
      <vt:lpstr>Sheet4</vt:lpstr>
      <vt:lpstr>Sheet5</vt:lpstr>
      <vt:lpstr>Sheet6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Ashna Gupta</dc:creator>
  <cp:lastModifiedBy>Ashna Gupta</cp:lastModifiedBy>
  <dcterms:created xsi:type="dcterms:W3CDTF">2026-02-07T16:20:54Z</dcterms:created>
  <dcterms:modified xsi:type="dcterms:W3CDTF">2026-02-16T16:44:14Z</dcterms:modified>
</cp:coreProperties>
</file>